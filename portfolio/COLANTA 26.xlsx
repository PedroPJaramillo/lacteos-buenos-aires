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7"/>
  </bookViews>
  <sheets>
    <sheet name="LUKER " sheetId="1" state="hidden" r:id="rId2"/>
    <sheet name="Colanta" sheetId="2" state="visible" r:id="rId3"/>
    <sheet name="TURBANA" sheetId="3" state="hidden" r:id="rId4"/>
    <sheet name="VARIOS" sheetId="4" state="hidden" r:id="rId5"/>
    <sheet name="SANTANA" sheetId="5" state="hidden" r:id="rId6"/>
    <sheet name="SANTOFRIO" sheetId="6" state="hidden" r:id="rId7"/>
    <sheet name="ACEGRASAS" sheetId="7" state="hidden" r:id="rId8"/>
    <sheet name="Hoja8" sheetId="8" state="visible" r:id="rId9"/>
  </sheets>
  <externalReferences>
    <externalReference r:id="rId10"/>
  </externalReferences>
  <definedNames>
    <definedName function="false" hidden="false" localSheetId="1" name="_xlnm.Print_Area" vbProcedure="false">Colanta!$A$1:$F$402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<sst xmlns="http://schemas.openxmlformats.org/spreadsheetml/2006/main" count="2127" uniqueCount="1229">
  <si>
    <t xml:space="preserve"> </t>
  </si>
  <si>
    <t xml:space="preserve">LACTEOS BUENOS AIRES S.A.S</t>
  </si>
  <si>
    <t xml:space="preserve">ENER. 2011</t>
  </si>
  <si>
    <t xml:space="preserve">CALLE 26A No 43F-14 MEDELLIN</t>
  </si>
  <si>
    <t xml:space="preserve">PBX: 262 41 41</t>
  </si>
  <si>
    <t xml:space="preserve">LINEA CASA LUKER</t>
  </si>
  <si>
    <t xml:space="preserve">           NIT: 800-136-998-1</t>
  </si>
  <si>
    <t xml:space="preserve">CODIGO</t>
  </si>
  <si>
    <t xml:space="preserve">NOMBRE DEL PRODUCTO</t>
  </si>
  <si>
    <t xml:space="preserve">UNIDAD</t>
  </si>
  <si>
    <t xml:space="preserve">PRECIO</t>
  </si>
  <si>
    <t xml:space="preserve">% IVA</t>
  </si>
  <si>
    <t xml:space="preserve">L00021</t>
  </si>
  <si>
    <t xml:space="preserve">DET.POLVO GRANDIOSO * 400 grs</t>
  </si>
  <si>
    <t xml:space="preserve">BOLSA</t>
  </si>
  <si>
    <t xml:space="preserve">L00038</t>
  </si>
  <si>
    <t xml:space="preserve">DET.POLVO GRANDIOSO * 900 grs</t>
  </si>
  <si>
    <t xml:space="preserve">L00236</t>
  </si>
  <si>
    <t xml:space="preserve">DET.POLVO GRANDIOSO * 2800 grs</t>
  </si>
  <si>
    <t xml:space="preserve">L02373</t>
  </si>
  <si>
    <t xml:space="preserve">LIMPIADOR POPOURRI *750ml</t>
  </si>
  <si>
    <t xml:space="preserve">FRASCO</t>
  </si>
  <si>
    <t xml:space="preserve">L32379</t>
  </si>
  <si>
    <t xml:space="preserve">LIMPIADOR LAVANDA *750ml</t>
  </si>
  <si>
    <t xml:space="preserve">L90381</t>
  </si>
  <si>
    <t xml:space="preserve">CREMA LAVALOZA FASSI *250</t>
  </si>
  <si>
    <t xml:space="preserve">TARRO</t>
  </si>
  <si>
    <t xml:space="preserve">L90404</t>
  </si>
  <si>
    <t xml:space="preserve">CREMA LAVALOZA FASSI *450</t>
  </si>
  <si>
    <t xml:space="preserve">CREMA LAVALOZA FASSI *900</t>
  </si>
  <si>
    <t xml:space="preserve">                                                                                                                                                                      LINEA CHOCOLATE</t>
  </si>
  <si>
    <t xml:space="preserve">IVA INCLUIDO</t>
  </si>
  <si>
    <t xml:space="preserve">L12014</t>
  </si>
  <si>
    <t xml:space="preserve">LUKER AMARGO / Clavos y canela*125 grs</t>
  </si>
  <si>
    <t xml:space="preserve">BARRA</t>
  </si>
  <si>
    <t xml:space="preserve">L12021</t>
  </si>
  <si>
    <t xml:space="preserve">LUKER AMARGO *250 grs</t>
  </si>
  <si>
    <t xml:space="preserve">L12151</t>
  </si>
  <si>
    <t xml:space="preserve">LUKER AMARGO D32 *500 grs</t>
  </si>
  <si>
    <t xml:space="preserve">L12175</t>
  </si>
  <si>
    <t xml:space="preserve">LUKER AMARGO D*64 1000 grs</t>
  </si>
  <si>
    <t xml:space="preserve">L14018</t>
  </si>
  <si>
    <t xml:space="preserve">LUKER clavos y canela D32 *500 grs</t>
  </si>
  <si>
    <t xml:space="preserve">LUKER AUTENTICO *250 grs</t>
  </si>
  <si>
    <t xml:space="preserve">CHOCOLATADA AZUCAR *400 grs</t>
  </si>
  <si>
    <t xml:space="preserve">L68254</t>
  </si>
  <si>
    <t xml:space="preserve">COCOA LUKER 12% *25 Kilos</t>
  </si>
  <si>
    <t xml:space="preserve">BULTO</t>
  </si>
  <si>
    <t xml:space="preserve">L65048</t>
  </si>
  <si>
    <t xml:space="preserve">CHOCOEXPRESS *200 grs</t>
  </si>
  <si>
    <t xml:space="preserve">LUKER clavos y canela *250 grs</t>
  </si>
  <si>
    <t xml:space="preserve">UNID.</t>
  </si>
  <si>
    <t xml:space="preserve">L65018</t>
  </si>
  <si>
    <t xml:space="preserve">CHOCOEXPRES *125 grs</t>
  </si>
  <si>
    <t xml:space="preserve">SOBRE</t>
  </si>
  <si>
    <t xml:space="preserve">CHOCOEXPRESS clavos y canela *125 grs</t>
  </si>
  <si>
    <t xml:space="preserve">                                               LACTEOS BUENOS AIRES  S.A.S                             </t>
  </si>
  <si>
    <t xml:space="preserve">LISTA DE PRECIOS</t>
  </si>
  <si>
    <t xml:space="preserve">LINEA MARGARINAS</t>
  </si>
  <si>
    <t xml:space="preserve">L01000</t>
  </si>
  <si>
    <t xml:space="preserve">MARGARINA CAMPI *250 grs.</t>
  </si>
  <si>
    <t xml:space="preserve">L01154</t>
  </si>
  <si>
    <t xml:space="preserve">MARGARINA CAMPI *500 grs.</t>
  </si>
  <si>
    <t xml:space="preserve">L01192</t>
  </si>
  <si>
    <t xml:space="preserve">MARGARINA CAMPI *1000 grs</t>
  </si>
  <si>
    <t xml:space="preserve">L00372</t>
  </si>
  <si>
    <t xml:space="preserve">MARG.CAMPI LIGHT *250 grs</t>
  </si>
  <si>
    <t xml:space="preserve">UND.</t>
  </si>
  <si>
    <t xml:space="preserve">L81029</t>
  </si>
  <si>
    <t xml:space="preserve">MARGARINA BUENA *250 grs.</t>
  </si>
  <si>
    <t xml:space="preserve">L81036</t>
  </si>
  <si>
    <t xml:space="preserve">MARGARINA BUENA *500 grs.</t>
  </si>
  <si>
    <t xml:space="preserve">L81203</t>
  </si>
  <si>
    <t xml:space="preserve">MARG. BUENA D*4Un.*125 grs</t>
  </si>
  <si>
    <t xml:space="preserve">L81227</t>
  </si>
  <si>
    <t xml:space="preserve">MARG. BUENA D*20Un. *125 grs</t>
  </si>
  <si>
    <t xml:space="preserve">LINEA ACEITES  ( ALIANZA TEAM * SIGRA )</t>
  </si>
  <si>
    <t xml:space="preserve">ACEITE FRYTOL * 20 Litros</t>
  </si>
  <si>
    <t xml:space="preserve">ACEITE MULTI FRY *20 Litros</t>
  </si>
  <si>
    <t xml:space="preserve">ACEITE SUPER FRY *20 Litros</t>
  </si>
  <si>
    <t xml:space="preserve">L00709</t>
  </si>
  <si>
    <t xml:space="preserve">ACEITE GOURMET CANOLA *1000 cc</t>
  </si>
  <si>
    <t xml:space="preserve">ACEITE GOURMET LIGHT *1000 cc</t>
  </si>
  <si>
    <t xml:space="preserve">L42101</t>
  </si>
  <si>
    <t xml:space="preserve">ACEITE OLIOSOYA * 250 cc</t>
  </si>
  <si>
    <t xml:space="preserve">L42156</t>
  </si>
  <si>
    <t xml:space="preserve">ACEITE OLIOSOYA * 500 cc</t>
  </si>
  <si>
    <t xml:space="preserve">L42200</t>
  </si>
  <si>
    <t xml:space="preserve">ACEITE OLIOSOYA * 1000 cc</t>
  </si>
  <si>
    <t xml:space="preserve">L42507</t>
  </si>
  <si>
    <t xml:space="preserve">ACEITE OLIOSOYA * 3000 cc</t>
  </si>
  <si>
    <t xml:space="preserve">GARRAFA</t>
  </si>
  <si>
    <t xml:space="preserve">L42705</t>
  </si>
  <si>
    <t xml:space="preserve">ACEITE OLIOSOYA * 5000 cc</t>
  </si>
  <si>
    <t xml:space="preserve">L62154</t>
  </si>
  <si>
    <t xml:space="preserve">ACEITE GOURMET * 500 cc</t>
  </si>
  <si>
    <t xml:space="preserve">L62208</t>
  </si>
  <si>
    <t xml:space="preserve">ACEITE GOURMET * 1000 cc</t>
  </si>
  <si>
    <t xml:space="preserve">L62604</t>
  </si>
  <si>
    <t xml:space="preserve">ACEITE GOURMET * 3000 cc</t>
  </si>
  <si>
    <t xml:space="preserve">L62659</t>
  </si>
  <si>
    <t xml:space="preserve">ACEITE GOURMET * 5000 cc</t>
  </si>
  <si>
    <t xml:space="preserve">ACEITE GIRASOLI * 5000 cc</t>
  </si>
  <si>
    <t xml:space="preserve">LINEA CAFÉ</t>
  </si>
  <si>
    <t xml:space="preserve">L52516</t>
  </si>
  <si>
    <t xml:space="preserve">CAFE M.LUKAFE *2500g. CLASICO</t>
  </si>
  <si>
    <t xml:space="preserve">L60758</t>
  </si>
  <si>
    <t xml:space="preserve">C. AROMA GRANULADO *170gr.</t>
  </si>
  <si>
    <t xml:space="preserve">JARRA</t>
  </si>
  <si>
    <t xml:space="preserve">L60376</t>
  </si>
  <si>
    <t xml:space="preserve">CAFE AROMA GRANULADO *50grs.</t>
  </si>
  <si>
    <t xml:space="preserve">FRASC</t>
  </si>
  <si>
    <t xml:space="preserve">L60543</t>
  </si>
  <si>
    <t xml:space="preserve">CAFE AROMA GRANULADO *85grs.</t>
  </si>
  <si>
    <t xml:space="preserve">L60345</t>
  </si>
  <si>
    <t xml:space="preserve">CAFÉ AROMA SOLUBLE *50grs</t>
  </si>
  <si>
    <t xml:space="preserve">L60352</t>
  </si>
  <si>
    <t xml:space="preserve">CAFÉ AROMA SOLUBLE *85grs</t>
  </si>
  <si>
    <t xml:space="preserve">LINEA GALLETERIA</t>
  </si>
  <si>
    <t xml:space="preserve">L01694</t>
  </si>
  <si>
    <t xml:space="preserve">GALLETA C.SOCIAL INT. D*9</t>
  </si>
  <si>
    <t xml:space="preserve">DPL</t>
  </si>
  <si>
    <t xml:space="preserve">L02851</t>
  </si>
  <si>
    <t xml:space="preserve">GALLETA C.SOCIAL FRESA D*9Un.</t>
  </si>
  <si>
    <t xml:space="preserve">PAQ.</t>
  </si>
  <si>
    <t xml:space="preserve">L03446</t>
  </si>
  <si>
    <t xml:space="preserve">GALLETA C.SOCIAL JAMON D*9</t>
  </si>
  <si>
    <t xml:space="preserve">L05106</t>
  </si>
  <si>
    <t xml:space="preserve">GALLETA CLUB SOCIAL D*9 x 279gr</t>
  </si>
  <si>
    <t xml:space="preserve">DISP.</t>
  </si>
  <si>
    <t xml:space="preserve">L06390</t>
  </si>
  <si>
    <t xml:space="preserve">GALLETA HONY D*9</t>
  </si>
  <si>
    <t xml:space="preserve">L51110</t>
  </si>
  <si>
    <t xml:space="preserve">GALLETA OREO D*12 432g.</t>
  </si>
  <si>
    <t xml:space="preserve">L72248</t>
  </si>
  <si>
    <t xml:space="preserve">GALLETAS RITZ QUESO D*6Un.</t>
  </si>
  <si>
    <t xml:space="preserve">DISP</t>
  </si>
  <si>
    <t xml:space="preserve">LINEA GELATINA</t>
  </si>
  <si>
    <t xml:space="preserve">L91944</t>
  </si>
  <si>
    <t xml:space="preserve">GEL SIN SABOR *7.5 grs.</t>
  </si>
  <si>
    <t xml:space="preserve">L55302</t>
  </si>
  <si>
    <t xml:space="preserve">GELATINA SAROMA *45grs.</t>
  </si>
  <si>
    <t xml:space="preserve">LINEA HARINA</t>
  </si>
  <si>
    <t xml:space="preserve">L61066</t>
  </si>
  <si>
    <t xml:space="preserve">H.RICAMASA BLANCA*1000grs.</t>
  </si>
  <si>
    <t xml:space="preserve">L65064</t>
  </si>
  <si>
    <t xml:space="preserve">H.RICAMASA AMARILLA*1000grs.</t>
  </si>
  <si>
    <t xml:space="preserve">LINEA ATUN</t>
  </si>
  <si>
    <t xml:space="preserve">L06890</t>
  </si>
  <si>
    <t xml:space="preserve">ATUN VIKINGOS LOMO ACEITE *170 grs</t>
  </si>
  <si>
    <t xml:space="preserve">LATA</t>
  </si>
  <si>
    <t xml:space="preserve">L06906</t>
  </si>
  <si>
    <t xml:space="preserve">ATUN VIKINGOS LOMO AGUA *170grs</t>
  </si>
  <si>
    <t xml:space="preserve">LINEA REFRESCOS</t>
  </si>
  <si>
    <t xml:space="preserve">L85363</t>
  </si>
  <si>
    <t xml:space="preserve">TANG INST. NARANJA * 810grs.</t>
  </si>
  <si>
    <t xml:space="preserve">L85370</t>
  </si>
  <si>
    <t xml:space="preserve">TANG INST. MANDARINA * 810gr.</t>
  </si>
  <si>
    <t xml:space="preserve">L85364</t>
  </si>
  <si>
    <t xml:space="preserve">TANG INST. MORA * 810gr.</t>
  </si>
  <si>
    <t xml:space="preserve">L85028</t>
  </si>
  <si>
    <t xml:space="preserve">CLIGHT x 10 grs.SOBRE</t>
  </si>
  <si>
    <t xml:space="preserve">Precios SIN IVA Incluido</t>
  </si>
  <si>
    <t xml:space="preserve">Sujetos a cambio sin previo aviso</t>
  </si>
  <si>
    <t xml:space="preserve">LÁ'EOS  BUENOS AIRES  S.A.S</t>
  </si>
  <si>
    <t xml:space="preserve">LISTADO PRECIOS  2025</t>
  </si>
  <si>
    <t xml:space="preserve">LECHE LIQUIDA FRESCA Y LARGA VIDA</t>
  </si>
  <si>
    <t xml:space="preserve">CÓDIGO</t>
  </si>
  <si>
    <t xml:space="preserve">NOMBRE DEL PRODCUCTO</t>
  </si>
  <si>
    <t xml:space="preserve">P. FINAL CON IVA</t>
  </si>
  <si>
    <t xml:space="preserve">L.UHT ENTERA COLANTA SLIM X200ML</t>
  </si>
  <si>
    <t xml:space="preserve">CAJA</t>
  </si>
  <si>
    <t xml:space="preserve">0344</t>
  </si>
  <si>
    <t xml:space="preserve">L.UHT ENTERA COLANTA BOL X1100ML</t>
  </si>
  <si>
    <t xml:space="preserve">0369</t>
  </si>
  <si>
    <t xml:space="preserve">L.UHT ENTERA COLANTA BOL X200ML</t>
  </si>
  <si>
    <t xml:space="preserve">0379</t>
  </si>
  <si>
    <t xml:space="preserve">L.UHT DESC COLANTA BOL X900ML </t>
  </si>
  <si>
    <t xml:space="preserve">0423</t>
  </si>
  <si>
    <t xml:space="preserve">L.UHT ENTERA COLANTA EDGE X1000ML</t>
  </si>
  <si>
    <t xml:space="preserve">0425</t>
  </si>
  <si>
    <t xml:space="preserve">L.UHT SEMIDESC COLANTA EDGE X1000ML</t>
  </si>
  <si>
    <t xml:space="preserve">0427</t>
  </si>
  <si>
    <t xml:space="preserve">L.UHT DESL SEMI COLANTA EDGE X1L</t>
  </si>
  <si>
    <t xml:space="preserve">0429</t>
  </si>
  <si>
    <t xml:space="preserve">L.UHT DESC COLANTA EDGE X1000ML</t>
  </si>
  <si>
    <t xml:space="preserve">0431</t>
  </si>
  <si>
    <t xml:space="preserve">L.UHT DESLAC DESC COLANTA EDGE X1000ML</t>
  </si>
  <si>
    <t xml:space="preserve">0450</t>
  </si>
  <si>
    <t xml:space="preserve">LECHE UHT ENTERA BOLSA 400ML</t>
  </si>
  <si>
    <t xml:space="preserve">0451</t>
  </si>
  <si>
    <t xml:space="preserve">LECHE UHT DESLA'OSADA BOLSA 400ML</t>
  </si>
  <si>
    <t xml:space="preserve">0496</t>
  </si>
  <si>
    <t xml:space="preserve">LUHT ENTERA COLANTA BOLSA X1000ML</t>
  </si>
  <si>
    <t xml:space="preserve">0498</t>
  </si>
  <si>
    <t xml:space="preserve">LUHT DESLAC COLANTA BOL X1000ML</t>
  </si>
  <si>
    <t xml:space="preserve">0620</t>
  </si>
  <si>
    <t xml:space="preserve">L.UHT ENTERA MONTEFRIO BOLSA X900ML</t>
  </si>
  <si>
    <t xml:space="preserve">0651</t>
  </si>
  <si>
    <t xml:space="preserve">L.UHT DESLAC COLANTA BOL X1100ML </t>
  </si>
  <si>
    <t xml:space="preserve">0683</t>
  </si>
  <si>
    <t xml:space="preserve">L.UHT ENTERA COLANTA BOL X200ML X6U</t>
  </si>
  <si>
    <t xml:space="preserve">1204</t>
  </si>
  <si>
    <t xml:space="preserve">L.UHT ENTERA PROLINCO BOLSA X900ML </t>
  </si>
  <si>
    <t xml:space="preserve">0141</t>
  </si>
  <si>
    <t xml:space="preserve">L. ENTERA RICURA BOLSA X 900ML</t>
  </si>
  <si>
    <t xml:space="preserve">0105</t>
  </si>
  <si>
    <t xml:space="preserve">L. ENTERA PASTEURIZADA COLANTA BOLSA X 1L</t>
  </si>
  <si>
    <t xml:space="preserve">0108</t>
  </si>
  <si>
    <t xml:space="preserve">L. ENTERA MONTEFRIO PASTEURIZADA BOLSA X 1L</t>
  </si>
  <si>
    <t xml:space="preserve">0146</t>
  </si>
  <si>
    <t xml:space="preserve">L. DESLAC. PASTEURIZADA BOLSA X 1L</t>
  </si>
  <si>
    <t xml:space="preserve">1225</t>
  </si>
  <si>
    <t xml:space="preserve">L.UHT DESLAC SEMI PROLINCO BOL X900ML </t>
  </si>
  <si>
    <t xml:space="preserve">VARIOS</t>
  </si>
  <si>
    <t xml:space="preserve">FRESCOLANTA UHT SURT BOL X200ML X6U</t>
  </si>
  <si>
    <t xml:space="preserve">1008</t>
  </si>
  <si>
    <t xml:space="preserve">FRESCOLANTA UHT CHOC BOL X200ML</t>
  </si>
  <si>
    <t xml:space="preserve">1009</t>
  </si>
  <si>
    <t xml:space="preserve">FRESCOLANTA UHT FRESA BOL X200ML</t>
  </si>
  <si>
    <t xml:space="preserve">1049</t>
  </si>
  <si>
    <t xml:space="preserve">FRESCOLANTA UHT SURT SLIM X200ML X6U</t>
  </si>
  <si>
    <t xml:space="preserve">1050</t>
  </si>
  <si>
    <t xml:space="preserve">FRESCOLANTA UHT CHOC SLIM X200ML</t>
  </si>
  <si>
    <t xml:space="preserve">1051</t>
  </si>
  <si>
    <t xml:space="preserve">FRESCOLANTA UHT FRESA SLIM X200ML</t>
  </si>
  <si>
    <t xml:space="preserve">1052</t>
  </si>
  <si>
    <t xml:space="preserve">FRESCOLANTA UHT VLLA SLIM X200ML</t>
  </si>
  <si>
    <t xml:space="preserve">1063</t>
  </si>
  <si>
    <t xml:space="preserve">AVENA UHT COLANTA BOL X200ML </t>
  </si>
  <si>
    <t xml:space="preserve">1066</t>
  </si>
  <si>
    <t xml:space="preserve">AVENA COLANTA UHT CANELA SLIM X200ML</t>
  </si>
  <si>
    <t xml:space="preserve">1104</t>
  </si>
  <si>
    <t xml:space="preserve">FRESCOLANTA UHT CHOC SLIM X200ML X6U</t>
  </si>
  <si>
    <t xml:space="preserve">1105</t>
  </si>
  <si>
    <t xml:space="preserve">FRESCOLANTA UHT CHOC BOL X200ML X6U</t>
  </si>
  <si>
    <t xml:space="preserve">1136</t>
  </si>
  <si>
    <t xml:space="preserve">AVENA NATUR UHT COLANTA BOL X200ML </t>
  </si>
  <si>
    <t xml:space="preserve">1142</t>
  </si>
  <si>
    <t xml:space="preserve">AVENA NATUR UHT COLANTA EDGE X1000ML</t>
  </si>
  <si>
    <t xml:space="preserve">1143</t>
  </si>
  <si>
    <t xml:space="preserve">AVENA NATUR UHT COLANTA BOL X1100ML</t>
  </si>
  <si>
    <t xml:space="preserve">LECHE EN POLVO</t>
  </si>
  <si>
    <t xml:space="preserve">0805</t>
  </si>
  <si>
    <t xml:space="preserve">LA'OSUERO EN POLVO *25 K</t>
  </si>
  <si>
    <t xml:space="preserve">MEZCLA VENDING *25 k</t>
  </si>
  <si>
    <t xml:space="preserve">0550</t>
  </si>
  <si>
    <t xml:space="preserve">LECHE EN POLVO DESCREMADA *25K</t>
  </si>
  <si>
    <t xml:space="preserve">0532</t>
  </si>
  <si>
    <t xml:space="preserve">LECHE POLVO ENTERA * 900 Grs.</t>
  </si>
  <si>
    <t xml:space="preserve">0531</t>
  </si>
  <si>
    <t xml:space="preserve">LECHE POLVO ENTERA *380 Grs.</t>
  </si>
  <si>
    <t xml:space="preserve">0521</t>
  </si>
  <si>
    <t xml:space="preserve">LECHE POLVO x 25 Grs. D*12</t>
  </si>
  <si>
    <t xml:space="preserve">0517</t>
  </si>
  <si>
    <t xml:space="preserve">LECHE EN POLVO * 200 Grs</t>
  </si>
  <si>
    <t xml:space="preserve">0505</t>
  </si>
  <si>
    <t xml:space="preserve">LECHE EN POLVO ENTERA BULTO * 25k</t>
  </si>
  <si>
    <t xml:space="preserve">0458</t>
  </si>
  <si>
    <t xml:space="preserve">L. POLVO DESLA'OSADA SEMIDESCR.* 380 Grs.</t>
  </si>
  <si>
    <t xml:space="preserve">0457</t>
  </si>
  <si>
    <t xml:space="preserve">L. POLVO DESCREMADA * 380 Grs</t>
  </si>
  <si>
    <t xml:space="preserve">QUESO CREMA Y CREMA AGRIA</t>
  </si>
  <si>
    <t xml:space="preserve">2503</t>
  </si>
  <si>
    <t xml:space="preserve">QUESO CREMA COLANTA X150G</t>
  </si>
  <si>
    <t xml:space="preserve">2505</t>
  </si>
  <si>
    <t xml:space="preserve">QUESO CREMA COLANTA CAJA X4KG</t>
  </si>
  <si>
    <t xml:space="preserve">2515</t>
  </si>
  <si>
    <t xml:space="preserve">QUESO CREMA COLANTA X400G</t>
  </si>
  <si>
    <t xml:space="preserve">2520</t>
  </si>
  <si>
    <t xml:space="preserve">QUESO CREMA COLANTA X230G</t>
  </si>
  <si>
    <t xml:space="preserve">2529</t>
  </si>
  <si>
    <t xml:space="preserve">QUESO CREMA SLIGHT COLANTA X230G</t>
  </si>
  <si>
    <t xml:space="preserve">2530</t>
  </si>
  <si>
    <t xml:space="preserve">QUESO CREMA COLANTA X15G X30U</t>
  </si>
  <si>
    <t xml:space="preserve">3580</t>
  </si>
  <si>
    <t xml:space="preserve">CREMA AGRIA COLANTA A GRANEL X4KG</t>
  </si>
  <si>
    <t xml:space="preserve">3585</t>
  </si>
  <si>
    <t xml:space="preserve">CREMA AGRIA COLANTA X400G</t>
  </si>
  <si>
    <t xml:space="preserve">3588</t>
  </si>
  <si>
    <t xml:space="preserve">SUERO COSTEÑO ATOYABUEYX230G COLANTA</t>
  </si>
  <si>
    <t xml:space="preserve">3589</t>
  </si>
  <si>
    <t xml:space="preserve">CREMA AGRIA COLANTA X200G</t>
  </si>
  <si>
    <t xml:space="preserve">QUESO INDUSTRIAL</t>
  </si>
  <si>
    <t xml:space="preserve">1305</t>
  </si>
  <si>
    <t xml:space="preserve">QUESO BLANCO INDUSTRIAL COLANTA TIPO A X1KG</t>
  </si>
  <si>
    <t xml:space="preserve">KILO</t>
  </si>
  <si>
    <t xml:space="preserve">1307</t>
  </si>
  <si>
    <t xml:space="preserve">QUESO BLANCO PANADERIA COLANTA TIPO B X1KG</t>
  </si>
  <si>
    <t xml:space="preserve">1566</t>
  </si>
  <si>
    <t xml:space="preserve">QUESO PARA ASAR COLANTA +/- 1KG</t>
  </si>
  <si>
    <t xml:space="preserve">1631</t>
  </si>
  <si>
    <t xml:space="preserve">QUESO COSTEÑO COLANTA BLOQUE +/- 2.5KG</t>
  </si>
  <si>
    <t xml:space="preserve">1633</t>
  </si>
  <si>
    <t xml:space="preserve">QUESO COSTEÑO COLANTA  +/- 10 KG</t>
  </si>
  <si>
    <t xml:space="preserve">1904</t>
  </si>
  <si>
    <t xml:space="preserve">QUESO PARMESANO COLANTA BLOQUE X1KG</t>
  </si>
  <si>
    <t xml:space="preserve">1941</t>
  </si>
  <si>
    <t xml:space="preserve">QUESO PROVOLONE COLANTA BLOQUE X1KG</t>
  </si>
  <si>
    <t xml:space="preserve">1950</t>
  </si>
  <si>
    <t xml:space="preserve">QUESO EMMENTAL COLANTA BLOQUE</t>
  </si>
  <si>
    <t xml:space="preserve">1954</t>
  </si>
  <si>
    <t xml:space="preserve">QUESO GRUYERE COLANTA BLOQUE X1KG</t>
  </si>
  <si>
    <t xml:space="preserve">1959</t>
  </si>
  <si>
    <t xml:space="preserve">QUESO CHEDDAR COLANTA BLOQUE +/- 2.5KG</t>
  </si>
  <si>
    <t xml:space="preserve">1952</t>
  </si>
  <si>
    <t xml:space="preserve">QUESO TILSIT COLANTA BLOQUE X1KG</t>
  </si>
  <si>
    <t xml:space="preserve">1967</t>
  </si>
  <si>
    <t xml:space="preserve">QUESO MONTEREY JACK COLANTA BQUE +/- 2KG</t>
  </si>
  <si>
    <t xml:space="preserve">1985</t>
  </si>
  <si>
    <t xml:space="preserve">QUESO PECORINO COLANTA BLOQUE X1KG</t>
  </si>
  <si>
    <t xml:space="preserve">QUESITOS</t>
  </si>
  <si>
    <t xml:space="preserve">1222</t>
  </si>
  <si>
    <t xml:space="preserve">QUESITO PROLINCO TIPO TASA X500G</t>
  </si>
  <si>
    <t xml:space="preserve">1408</t>
  </si>
  <si>
    <t xml:space="preserve">QUESITO MONTEFRIO X 200G</t>
  </si>
  <si>
    <t xml:space="preserve">1424</t>
  </si>
  <si>
    <t xml:space="preserve">QUESITO MONTEFRIO X 380G</t>
  </si>
  <si>
    <t xml:space="preserve">1455</t>
  </si>
  <si>
    <t xml:space="preserve">QUESITO COLANTA AL VACIO X450G</t>
  </si>
  <si>
    <t xml:space="preserve">1460</t>
  </si>
  <si>
    <t xml:space="preserve">QUESITO COLANTA AL VACIO X250G</t>
  </si>
  <si>
    <t xml:space="preserve">1425</t>
  </si>
  <si>
    <t xml:space="preserve">QUESITO COLANTA X 200G</t>
  </si>
  <si>
    <t xml:space="preserve">1426</t>
  </si>
  <si>
    <t xml:space="preserve">QUESITO COLANTA X 380G</t>
  </si>
  <si>
    <t xml:space="preserve">1429</t>
  </si>
  <si>
    <t xml:space="preserve">QUESITO MONTEFRIO AL VACIO X 200G</t>
  </si>
  <si>
    <t xml:space="preserve">QUESO BLANCO Y CUAJADA</t>
  </si>
  <si>
    <t xml:space="preserve">1416</t>
  </si>
  <si>
    <t xml:space="preserve">CUAJADA COLANTA X500G</t>
  </si>
  <si>
    <t xml:space="preserve">1417</t>
  </si>
  <si>
    <t xml:space="preserve">CUAJADA COLANTA X250G</t>
  </si>
  <si>
    <t xml:space="preserve">1517</t>
  </si>
  <si>
    <t xml:space="preserve">QUESO BLANCO COLANTA X2KG</t>
  </si>
  <si>
    <t xml:space="preserve">1520</t>
  </si>
  <si>
    <t xml:space="preserve">QUESO BLANCO COLANTA X1KG</t>
  </si>
  <si>
    <t xml:space="preserve">1521</t>
  </si>
  <si>
    <t xml:space="preserve">QUESO BLANCO COLANTA X125G</t>
  </si>
  <si>
    <t xml:space="preserve">1540</t>
  </si>
  <si>
    <t xml:space="preserve">QUESO BLANCO COLANTA X500G</t>
  </si>
  <si>
    <t xml:space="preserve">1545</t>
  </si>
  <si>
    <t xml:space="preserve">QUESO BLANCO COLANTA X250G</t>
  </si>
  <si>
    <t xml:space="preserve">1552</t>
  </si>
  <si>
    <t xml:space="preserve">QUESO CAMPESINO COLANTA X250G</t>
  </si>
  <si>
    <t xml:space="preserve">QUESO HOLANDES</t>
  </si>
  <si>
    <t xml:space="preserve">1710</t>
  </si>
  <si>
    <t xml:space="preserve">QUESO HOLANDES COLANTA TAJADO X200G</t>
  </si>
  <si>
    <t xml:space="preserve">1712</t>
  </si>
  <si>
    <t xml:space="preserve">QUESO HOLANDES COLANTA TAJADO X120G</t>
  </si>
  <si>
    <t xml:space="preserve">UNID</t>
  </si>
  <si>
    <t xml:space="preserve">1765</t>
  </si>
  <si>
    <t xml:space="preserve">QUESO HOLANDES TIPO GOUADA COLANTA X2KG</t>
  </si>
  <si>
    <t xml:space="preserve">1770</t>
  </si>
  <si>
    <t xml:space="preserve">QUESO HOLANDES COLANTA X475G</t>
  </si>
  <si>
    <t xml:space="preserve">1775</t>
  </si>
  <si>
    <t xml:space="preserve">QUESO HOLANDES COLANTA X250G</t>
  </si>
  <si>
    <t xml:space="preserve">QUESO FUNDIDO</t>
  </si>
  <si>
    <t xml:space="preserve">1805</t>
  </si>
  <si>
    <t xml:space="preserve">QUESO FUNDIDO COLANTA BLOQUE X1KG</t>
  </si>
  <si>
    <t xml:space="preserve">BLOQUE</t>
  </si>
  <si>
    <t xml:space="preserve">1830</t>
  </si>
  <si>
    <t xml:space="preserve">QUESO FUNDIDO COLANTA TAJADO X250G</t>
  </si>
  <si>
    <t xml:space="preserve">2125</t>
  </si>
  <si>
    <t xml:space="preserve">QUESO FUNDIDO AMERICANO TAJADO 250G</t>
  </si>
  <si>
    <t xml:space="preserve">             QUESOS MADURADOS</t>
  </si>
  <si>
    <t xml:space="preserve">1564</t>
  </si>
  <si>
    <t xml:space="preserve">QUESO PARA ASAR COLANTA X250G</t>
  </si>
  <si>
    <t xml:space="preserve">1565</t>
  </si>
  <si>
    <t xml:space="preserve">QUESO PARA ASAR COLANTA X500G</t>
  </si>
  <si>
    <t xml:space="preserve">1641</t>
  </si>
  <si>
    <t xml:space="preserve">QUESO COSTEÑO COLANTA BLOQUE X1000G</t>
  </si>
  <si>
    <t xml:space="preserve">1642</t>
  </si>
  <si>
    <t xml:space="preserve">QUESO COSTEÑO COLANTA BLOQUE X500G</t>
  </si>
  <si>
    <t xml:space="preserve">1643</t>
  </si>
  <si>
    <t xml:space="preserve">QUESO COSTEÑO COLANTA RALLADO X500G</t>
  </si>
  <si>
    <t xml:space="preserve">1822</t>
  </si>
  <si>
    <t xml:space="preserve">QUESO CHEDDAR CON PIMENTON BLOQUE X 200G</t>
  </si>
  <si>
    <t xml:space="preserve">1906</t>
  </si>
  <si>
    <t xml:space="preserve">QUESO PARMESANO COLANTA CUÑA X1KG</t>
  </si>
  <si>
    <t xml:space="preserve">CUÑA</t>
  </si>
  <si>
    <t xml:space="preserve">1922</t>
  </si>
  <si>
    <t xml:space="preserve">QUESO PARMESANO RALLADO COLANTA X1KG</t>
  </si>
  <si>
    <t xml:space="preserve">1923</t>
  </si>
  <si>
    <t xml:space="preserve">QUESO PARMESANO RALLADO COLANTA X500G</t>
  </si>
  <si>
    <t xml:space="preserve">1925</t>
  </si>
  <si>
    <t xml:space="preserve">QUESO PARMESANO RALLADO COLANTA X250G</t>
  </si>
  <si>
    <t xml:space="preserve">1930</t>
  </si>
  <si>
    <t xml:space="preserve">QUESO PARMESANO RALLADO COLANTA X100G</t>
  </si>
  <si>
    <t xml:space="preserve">1931</t>
  </si>
  <si>
    <t xml:space="preserve">QUESO PARMESANO RALLADO COLANTA X40G</t>
  </si>
  <si>
    <t xml:space="preserve">1940</t>
  </si>
  <si>
    <t xml:space="preserve">QUESO PROVOLONE COLANTA RODAJA +/- 110G</t>
  </si>
  <si>
    <t xml:space="preserve">1951</t>
  </si>
  <si>
    <t xml:space="preserve">QUESO EMMENTAL COLANTA CUÑA</t>
  </si>
  <si>
    <t xml:space="preserve">1953</t>
  </si>
  <si>
    <t xml:space="preserve">QUESO TILSIT COLANTA CUÑA</t>
  </si>
  <si>
    <t xml:space="preserve">1955</t>
  </si>
  <si>
    <t xml:space="preserve">QUESO GRUYERE COLANTA CUÑA</t>
  </si>
  <si>
    <t xml:space="preserve">1957</t>
  </si>
  <si>
    <t xml:space="preserve">QUESO CHEDDAR COLANTA TAJADO X200G</t>
  </si>
  <si>
    <t xml:space="preserve">1960</t>
  </si>
  <si>
    <t xml:space="preserve">QUESO CHEDDAR COLANTA CUÑA</t>
  </si>
  <si>
    <t xml:space="preserve">1966</t>
  </si>
  <si>
    <t xml:space="preserve">QUESO MONTEREY JACK COLANTA X475G</t>
  </si>
  <si>
    <t xml:space="preserve">1968</t>
  </si>
  <si>
    <t xml:space="preserve">QUESO MONTEREY JACK COLANTA X250G</t>
  </si>
  <si>
    <t xml:space="preserve">1977</t>
  </si>
  <si>
    <t xml:space="preserve">QUESO PECORINO COLANTA CUÑA X1KG</t>
  </si>
  <si>
    <t xml:space="preserve">1990</t>
  </si>
  <si>
    <t xml:space="preserve">QUESO CINCUENTENARIO COLANTA X475G</t>
  </si>
  <si>
    <t xml:space="preserve">1991</t>
  </si>
  <si>
    <t xml:space="preserve">QUESO CINCUENTENARIO COLANTA X250G</t>
  </si>
  <si>
    <t xml:space="preserve">QUESOS PASTA HILADA</t>
  </si>
  <si>
    <t xml:space="preserve">2008</t>
  </si>
  <si>
    <t xml:space="preserve">QUESO DOBLECREMA GANITAS COLANTA X50G</t>
  </si>
  <si>
    <t xml:space="preserve">2009</t>
  </si>
  <si>
    <t xml:space="preserve">QUESO DOBLECREMA GANITAS COLANTA X50G 6U</t>
  </si>
  <si>
    <t xml:space="preserve">2012</t>
  </si>
  <si>
    <t xml:space="preserve">QUESO MOZZARELLA DE BUFALA COLANTA X450G</t>
  </si>
  <si>
    <t xml:space="preserve">2013</t>
  </si>
  <si>
    <t xml:space="preserve">QUESO MOZZARELLA DE BUFALA COLANTA X250G</t>
  </si>
  <si>
    <t xml:space="preserve">2025</t>
  </si>
  <si>
    <t xml:space="preserve">QUESO MOZZARELLA COLANTA BLOQUE X2.5KG</t>
  </si>
  <si>
    <t xml:space="preserve">2030</t>
  </si>
  <si>
    <t xml:space="preserve">QUESO MOZZARELLA COLANTA X450G</t>
  </si>
  <si>
    <t xml:space="preserve">2035</t>
  </si>
  <si>
    <t xml:space="preserve">QUESO MOZZARELLA COLANTA X250G</t>
  </si>
  <si>
    <t xml:space="preserve">2050</t>
  </si>
  <si>
    <t xml:space="preserve">QUESO DOBLECREMA COLANTA X2500G</t>
  </si>
  <si>
    <t xml:space="preserve">2053</t>
  </si>
  <si>
    <t xml:space="preserve">QUESILLO MONTEFRIO BLQ X2500G</t>
  </si>
  <si>
    <t xml:space="preserve">2060</t>
  </si>
  <si>
    <t xml:space="preserve">QUESO DOBLECREMA COLANTA X250G</t>
  </si>
  <si>
    <t xml:space="preserve">2062</t>
  </si>
  <si>
    <t xml:space="preserve">QUESO DOBLECREMA COLANTA TAJADO X250G</t>
  </si>
  <si>
    <t xml:space="preserve">2064</t>
  </si>
  <si>
    <t xml:space="preserve">QUESO DOBLECREMA COLANTA TAJ X2KG TAJ17G</t>
  </si>
  <si>
    <t xml:space="preserve">2070</t>
  </si>
  <si>
    <t xml:space="preserve">QUESO MOZZARELLA COLANTA TAJADO X2KG</t>
  </si>
  <si>
    <t xml:space="preserve">0470</t>
  </si>
  <si>
    <t xml:space="preserve">QUESO MOZARELLA CUBICADO X 500G</t>
  </si>
  <si>
    <t xml:space="preserve">2075</t>
  </si>
  <si>
    <t xml:space="preserve">QUESO MOZZARELLA COLANTA TAJADO X500G</t>
  </si>
  <si>
    <t xml:space="preserve">2080</t>
  </si>
  <si>
    <t xml:space="preserve">QUESO MOZZARELLA COLANTA TAJADO X250G</t>
  </si>
  <si>
    <t xml:space="preserve">2097</t>
  </si>
  <si>
    <t xml:space="preserve">QUESO DOBLECREMA COLANTA X1KG</t>
  </si>
  <si>
    <t xml:space="preserve">2101</t>
  </si>
  <si>
    <t xml:space="preserve">QUESO MOZZAR BUFALA FHIERB COLANTA X250G</t>
  </si>
  <si>
    <t xml:space="preserve">2120</t>
  </si>
  <si>
    <t xml:space="preserve">QUESO DOBLE CREMA MONTEFRIO BLOQUE 2500G</t>
  </si>
  <si>
    <t xml:space="preserve">2126</t>
  </si>
  <si>
    <t xml:space="preserve">QUESO DOBLE CREMA MONTEFRIO TAJADO 250G</t>
  </si>
  <si>
    <t xml:space="preserve">406J</t>
  </si>
  <si>
    <t xml:space="preserve">QUESILLO TAJADO DEL ORIENTE X125G</t>
  </si>
  <si>
    <t xml:space="preserve">406K</t>
  </si>
  <si>
    <t xml:space="preserve">QUESILLO TAJADO DEL ORIENTE X250G</t>
  </si>
  <si>
    <t xml:space="preserve">406P</t>
  </si>
  <si>
    <t xml:space="preserve">QUESILLO ENTERO DEL ORIENTE X2500G</t>
  </si>
  <si>
    <t xml:space="preserve">473H</t>
  </si>
  <si>
    <t xml:space="preserve">QUESILLO ENTERO DEL ORIENTE REDONDO 280G</t>
  </si>
  <si>
    <t xml:space="preserve">MANTEQUILLA</t>
  </si>
  <si>
    <t xml:space="preserve">3003</t>
  </si>
  <si>
    <t xml:space="preserve">MANTEQUILLA COLANTA X10KG</t>
  </si>
  <si>
    <t xml:space="preserve">3005</t>
  </si>
  <si>
    <t xml:space="preserve">MANTEQUILLA COLANTA X25KG</t>
  </si>
  <si>
    <t xml:space="preserve">3015</t>
  </si>
  <si>
    <t xml:space="preserve">MANTEQUILLA COLANTA X500G</t>
  </si>
  <si>
    <t xml:space="preserve">3023</t>
  </si>
  <si>
    <t xml:space="preserve">MANTEQUILLA CON SAL X250G</t>
  </si>
  <si>
    <t xml:space="preserve">3024</t>
  </si>
  <si>
    <t xml:space="preserve">MANTEQUILLA CON SAL X125G</t>
  </si>
  <si>
    <t xml:space="preserve">3025</t>
  </si>
  <si>
    <t xml:space="preserve">MANTEQUILLA COLANTA X250G</t>
  </si>
  <si>
    <t xml:space="preserve">3026</t>
  </si>
  <si>
    <t xml:space="preserve">MANTEQUILLA COLANTA EN BARRA X125G</t>
  </si>
  <si>
    <t xml:space="preserve">3032</t>
  </si>
  <si>
    <t xml:space="preserve">MANTEQUILLA COLANTA UNIPERSONAL X10G 30U</t>
  </si>
  <si>
    <t xml:space="preserve">CREMA DE LECHE</t>
  </si>
  <si>
    <t xml:space="preserve">0911</t>
  </si>
  <si>
    <t xml:space="preserve">CREMA DE LECHE PASTEURIZ COLANTA  X9700G</t>
  </si>
  <si>
    <t xml:space="preserve">0912</t>
  </si>
  <si>
    <t xml:space="preserve">CREMA DE LECHE PASTEURIZ COLANTA X4800G</t>
  </si>
  <si>
    <t xml:space="preserve">0913</t>
  </si>
  <si>
    <t xml:space="preserve">CREMA DE LECHE PASTEURIZ COLANTAX970G</t>
  </si>
  <si>
    <t xml:space="preserve">BALDE</t>
  </si>
  <si>
    <t xml:space="preserve">3548</t>
  </si>
  <si>
    <t xml:space="preserve">CREMA LECHE PAST SEMIENTERA COL 4800G</t>
  </si>
  <si>
    <t xml:space="preserve">3549</t>
  </si>
  <si>
    <t xml:space="preserve">CREMA LECHE PAST SEMIENTERA COL 9700G</t>
  </si>
  <si>
    <t xml:space="preserve">3550</t>
  </si>
  <si>
    <t xml:space="preserve">CREMA LECHE PAST SEMIENTE COL BALDE 970G</t>
  </si>
  <si>
    <t xml:space="preserve">3551</t>
  </si>
  <si>
    <t xml:space="preserve">CREMA LECHE UHT SEMIENTE COL BOLSA 870G</t>
  </si>
  <si>
    <t xml:space="preserve">3553</t>
  </si>
  <si>
    <t xml:space="preserve">CREMA LECHE UHT SEMIENTERA COL BOL 175G</t>
  </si>
  <si>
    <t xml:space="preserve">AREQUIPE</t>
  </si>
  <si>
    <t xml:space="preserve">0922</t>
  </si>
  <si>
    <t xml:space="preserve">AREQUIPE COLANTA TARRINA X 220G</t>
  </si>
  <si>
    <t xml:space="preserve">4002</t>
  </si>
  <si>
    <t xml:space="preserve">AREQUIPE COLANTA CAJA X5KG</t>
  </si>
  <si>
    <t xml:space="preserve">4003</t>
  </si>
  <si>
    <t xml:space="preserve">AREQUIPE COLANTA ALTA DENSIDAD CJA X10KG</t>
  </si>
  <si>
    <t xml:space="preserve">4020</t>
  </si>
  <si>
    <t xml:space="preserve">AREQUIPE COLANTA TARRINA X50G X6U</t>
  </si>
  <si>
    <t xml:space="preserve">4040</t>
  </si>
  <si>
    <t xml:space="preserve">AREQUIPE KIPE COLANTA SACHET X20G X12U</t>
  </si>
  <si>
    <t xml:space="preserve">4052</t>
  </si>
  <si>
    <t xml:space="preserve">AREQUIPE COLANTA DOYPACK X100G</t>
  </si>
  <si>
    <t xml:space="preserve">4053</t>
  </si>
  <si>
    <t xml:space="preserve">AREQUIPE SOLUC COLANTA DOYPACK X250G</t>
  </si>
  <si>
    <t xml:space="preserve">4054</t>
  </si>
  <si>
    <t xml:space="preserve">AREQUIPE SOLUC COLANTA DOYPACK X1KG</t>
  </si>
  <si>
    <t xml:space="preserve">4055</t>
  </si>
  <si>
    <t xml:space="preserve">AREQUIPE SOLUC COLANTA CAJA X5KG</t>
  </si>
  <si>
    <t xml:space="preserve">4081</t>
  </si>
  <si>
    <t xml:space="preserve">AREQUIPE TARRINA 450 G</t>
  </si>
  <si>
    <t xml:space="preserve">0748</t>
  </si>
  <si>
    <t xml:space="preserve">AREQUIPE X220 SOBRECOPA PALTR</t>
  </si>
  <si>
    <t xml:space="preserve">0749</t>
  </si>
  <si>
    <t xml:space="preserve">AREQUIPE X450 SOBRECOPA PALTR</t>
  </si>
  <si>
    <t xml:space="preserve">YOGUR</t>
  </si>
  <si>
    <t xml:space="preserve">4724</t>
  </si>
  <si>
    <t xml:space="preserve">SUPERBOOM ARROZ  ACHOCOLATADO 169G</t>
  </si>
  <si>
    <t xml:space="preserve">VASO</t>
  </si>
  <si>
    <t xml:space="preserve">4730</t>
  </si>
  <si>
    <t xml:space="preserve">SUPERBOOM GRANOLA 180G</t>
  </si>
  <si>
    <t xml:space="preserve">4732</t>
  </si>
  <si>
    <t xml:space="preserve">SUPERBOOM HOJUELAS AZUCARADAS 170G</t>
  </si>
  <si>
    <t xml:space="preserve">0459</t>
  </si>
  <si>
    <t xml:space="preserve">YOGUR ENTERO FRESA BOLSA X 900G</t>
  </si>
  <si>
    <t xml:space="preserve">0460</t>
  </si>
  <si>
    <t xml:space="preserve">YOGUR ENTERO MORA BOLSA X 900G</t>
  </si>
  <si>
    <t xml:space="preserve">0461</t>
  </si>
  <si>
    <t xml:space="preserve">YOGUR ENTERO MELOCOTON X 900G</t>
  </si>
  <si>
    <t xml:space="preserve">1356</t>
  </si>
  <si>
    <t xml:space="preserve">YOGUR ENTERO FRESA GARRAFA 3900 ML</t>
  </si>
  <si>
    <t xml:space="preserve">1358</t>
  </si>
  <si>
    <t xml:space="preserve">YOGUR ENTERO MELOCOTON GARRAFA 3900 ML</t>
  </si>
  <si>
    <t xml:space="preserve">4132</t>
  </si>
  <si>
    <t xml:space="preserve">YOGUR GRIEGO VLLA COLANTA X125G</t>
  </si>
  <si>
    <t xml:space="preserve">4133</t>
  </si>
  <si>
    <t xml:space="preserve">YOGUR GRIEGO PIÑA COLANTA X125G</t>
  </si>
  <si>
    <t xml:space="preserve">4134</t>
  </si>
  <si>
    <t xml:space="preserve">YOGUR GRIEGO LIMON COLANTA X125G</t>
  </si>
  <si>
    <t xml:space="preserve">4135</t>
  </si>
  <si>
    <t xml:space="preserve">YOGUR GRIEGO FRESA COLANTA X125G</t>
  </si>
  <si>
    <t xml:space="preserve">4176</t>
  </si>
  <si>
    <t xml:space="preserve">YOGUR VIDA MORA COLANTA BTLLA X100G</t>
  </si>
  <si>
    <t xml:space="preserve">BOTELLA</t>
  </si>
  <si>
    <t xml:space="preserve">4177</t>
  </si>
  <si>
    <t xml:space="preserve">YOGUR VIDA FRESA COLANTA BTLLA X100G</t>
  </si>
  <si>
    <t xml:space="preserve">4178</t>
  </si>
  <si>
    <t xml:space="preserve">YOGUR VIDA MELO COLANTA BTLLA X100G</t>
  </si>
  <si>
    <t xml:space="preserve">4180</t>
  </si>
  <si>
    <t xml:space="preserve">YOGUR VIDA SURT COLANTA BTLLA X100G X6U</t>
  </si>
  <si>
    <t xml:space="preserve">4181</t>
  </si>
  <si>
    <t xml:space="preserve">YOGUR DE BUFALA MARACUYA COLANTA X170G</t>
  </si>
  <si>
    <t xml:space="preserve">4182</t>
  </si>
  <si>
    <t xml:space="preserve">YOGUR DE BUFALA MORA COLANTA X170G</t>
  </si>
  <si>
    <t xml:space="preserve">4184</t>
  </si>
  <si>
    <t xml:space="preserve">YOGUR DE BUFALA FRESA COLANTA X170G</t>
  </si>
  <si>
    <t xml:space="preserve">4303</t>
  </si>
  <si>
    <t xml:space="preserve">YOGUR SLIGHT FRESA COLANTA GFAX1KG</t>
  </si>
  <si>
    <t xml:space="preserve">4304</t>
  </si>
  <si>
    <t xml:space="preserve">YOGUR SLIGHT MELO COLANTA GFAX1KG</t>
  </si>
  <si>
    <t xml:space="preserve">4305</t>
  </si>
  <si>
    <t xml:space="preserve">YOGUR SLIGHT MORA COLANTA GFAX1KG</t>
  </si>
  <si>
    <t xml:space="preserve">4306</t>
  </si>
  <si>
    <t xml:space="preserve">YOGUR FRESA COLANTA GFA X1750G</t>
  </si>
  <si>
    <t xml:space="preserve">4309</t>
  </si>
  <si>
    <t xml:space="preserve">YOGUR MELO COLANTA GFA X1750G</t>
  </si>
  <si>
    <t xml:space="preserve">4310</t>
  </si>
  <si>
    <t xml:space="preserve">YOGUR MORA COLANTA GFA X1750G</t>
  </si>
  <si>
    <t xml:space="preserve">4312</t>
  </si>
  <si>
    <t xml:space="preserve">YOGUR GUANABANA COLANTA GFA X1KG</t>
  </si>
  <si>
    <t xml:space="preserve">4314</t>
  </si>
  <si>
    <t xml:space="preserve">YOGUR SLIGHT FRESA COLANTA VASO X200G</t>
  </si>
  <si>
    <t xml:space="preserve">4315</t>
  </si>
  <si>
    <t xml:space="preserve">YOGUR SLIGHT MELO COLANTA VASO X200G</t>
  </si>
  <si>
    <t xml:space="preserve">4316</t>
  </si>
  <si>
    <t xml:space="preserve">YOGUR SLIGHT MORA COLANTA VASO X200G</t>
  </si>
  <si>
    <t xml:space="preserve">4433</t>
  </si>
  <si>
    <t xml:space="preserve">YOGUR SLIGHT FRESA COLANTA BOL X1L</t>
  </si>
  <si>
    <t xml:space="preserve">4434</t>
  </si>
  <si>
    <t xml:space="preserve">YOGUR SLIGHT MELO COLANTA BOL X1L</t>
  </si>
  <si>
    <t xml:space="preserve">4435</t>
  </si>
  <si>
    <t xml:space="preserve">YOGUR SLIGHT MORA COLANTA BOL X1L</t>
  </si>
  <si>
    <t xml:space="preserve">4445</t>
  </si>
  <si>
    <t xml:space="preserve">YOGUR SLIGHT SURT COLANTA BOL X200G X6U</t>
  </si>
  <si>
    <t xml:space="preserve">4459</t>
  </si>
  <si>
    <t xml:space="preserve">YOGUR SURT COLANTA BOL X200G X6U</t>
  </si>
  <si>
    <t xml:space="preserve">4501</t>
  </si>
  <si>
    <t xml:space="preserve">YOGUR AREQUIPE PASAS COLANTA GFA X1L</t>
  </si>
  <si>
    <t xml:space="preserve">4502</t>
  </si>
  <si>
    <t xml:space="preserve">YOGUR FRESA COLANTA GFA X1L</t>
  </si>
  <si>
    <t xml:space="preserve">4504</t>
  </si>
  <si>
    <t xml:space="preserve">YOGUR MELO COLANTA GFA X1L</t>
  </si>
  <si>
    <t xml:space="preserve">4505</t>
  </si>
  <si>
    <t xml:space="preserve">YOGUR MORA COLANTA GFA X1L</t>
  </si>
  <si>
    <t xml:space="preserve">4531</t>
  </si>
  <si>
    <t xml:space="preserve">YOGUR AREQ PASAS COLANTA VASO X200G</t>
  </si>
  <si>
    <t xml:space="preserve">4532</t>
  </si>
  <si>
    <t xml:space="preserve">YOGUR FRESA COLANTA VASO X200G</t>
  </si>
  <si>
    <t xml:space="preserve">4533</t>
  </si>
  <si>
    <t xml:space="preserve">YOGUR GUANABANA COLANTA VASO X200G</t>
  </si>
  <si>
    <t xml:space="preserve">4534</t>
  </si>
  <si>
    <t xml:space="preserve">YOGUR MELO COLANTA VASO X200G</t>
  </si>
  <si>
    <t xml:space="preserve">4535</t>
  </si>
  <si>
    <t xml:space="preserve">YOGUR MORA COLANTA VASO X200G</t>
  </si>
  <si>
    <t xml:space="preserve">4536</t>
  </si>
  <si>
    <t xml:space="preserve">YOGUR PIÑA COLADA COLANTA VASO X200G</t>
  </si>
  <si>
    <t xml:space="preserve">4547</t>
  </si>
  <si>
    <t xml:space="preserve">YOGUR FRESA COLANTA VASO X150G</t>
  </si>
  <si>
    <t xml:space="preserve">4548</t>
  </si>
  <si>
    <t xml:space="preserve">YOGUR GUANABANA COLANTA VASO X150G</t>
  </si>
  <si>
    <t xml:space="preserve">4549</t>
  </si>
  <si>
    <t xml:space="preserve">YOGUR MELO COLANTA VASO X150G</t>
  </si>
  <si>
    <t xml:space="preserve">4550</t>
  </si>
  <si>
    <t xml:space="preserve">YOGUR MORA COLANTA VASO X150G</t>
  </si>
  <si>
    <t xml:space="preserve">4578</t>
  </si>
  <si>
    <t xml:space="preserve">YOGUR SURT COLANTA VASO X150G X4U</t>
  </si>
  <si>
    <t xml:space="preserve">4610</t>
  </si>
  <si>
    <t xml:space="preserve">YOGUR GRIEGO FIBRA FRESA COLANTA X100G</t>
  </si>
  <si>
    <t xml:space="preserve">4619</t>
  </si>
  <si>
    <t xml:space="preserve">YOGUR MARACUYA VASO X200G</t>
  </si>
  <si>
    <t xml:space="preserve">4679</t>
  </si>
  <si>
    <t xml:space="preserve">YOGUR BENECOL DESLAC F VDE COLANTA X1L</t>
  </si>
  <si>
    <t xml:space="preserve">4680</t>
  </si>
  <si>
    <t xml:space="preserve">YOGUR BENECOL DESLAC FRESA COLANTA X1L</t>
  </si>
  <si>
    <t xml:space="preserve">4681</t>
  </si>
  <si>
    <t xml:space="preserve">YOGUR BENECOL DESLAC F ROJ COLANTA X1L</t>
  </si>
  <si>
    <t xml:space="preserve">4773</t>
  </si>
  <si>
    <t xml:space="preserve">PAQUETE TEMPORADA ESCOLAR SCRIBE-YOGUR</t>
  </si>
  <si>
    <t xml:space="preserve">PAQUETE</t>
  </si>
  <si>
    <t xml:space="preserve">4777</t>
  </si>
  <si>
    <t xml:space="preserve">YOGUR SLIGHT CEREAL COLANTA X170G</t>
  </si>
  <si>
    <t xml:space="preserve">4612</t>
  </si>
  <si>
    <t xml:space="preserve">YOG GRIEGO CEREAL ARANDANOS COLANTA 120G</t>
  </si>
  <si>
    <t xml:space="preserve">4450</t>
  </si>
  <si>
    <t xml:space="preserve">YOGUR FRESA COLANTA BOL X200G</t>
  </si>
  <si>
    <t xml:space="preserve">YAGUR (Bebida lá'ea semidescremada)</t>
  </si>
  <si>
    <t xml:space="preserve">4464</t>
  </si>
  <si>
    <t xml:space="preserve">YAGUR FRESA COLANTA BOL X150G</t>
  </si>
  <si>
    <t xml:space="preserve">BOOLSA</t>
  </si>
  <si>
    <t xml:space="preserve">4472</t>
  </si>
  <si>
    <t xml:space="preserve">YAGUR MELO COLANTA BOL X200G</t>
  </si>
  <si>
    <t xml:space="preserve">4713</t>
  </si>
  <si>
    <t xml:space="preserve">YAGUR AL FRESA BOLSA 900G</t>
  </si>
  <si>
    <t xml:space="preserve">4714</t>
  </si>
  <si>
    <t xml:space="preserve">YAGUR AL MORA BOLSA 900G</t>
  </si>
  <si>
    <t xml:space="preserve">4715</t>
  </si>
  <si>
    <t xml:space="preserve">YAGUR AL MELOCOT BOLSA 900G</t>
  </si>
  <si>
    <t xml:space="preserve">4762</t>
  </si>
  <si>
    <t xml:space="preserve">YAGUR AL FRESA VASO 150G</t>
  </si>
  <si>
    <t xml:space="preserve">4763</t>
  </si>
  <si>
    <t xml:space="preserve">YAGUR AL MORA VASO 150G</t>
  </si>
  <si>
    <t xml:space="preserve">4764</t>
  </si>
  <si>
    <t xml:space="preserve">YAGUR AL MELOCOT VASO 150G</t>
  </si>
  <si>
    <t xml:space="preserve">4765</t>
  </si>
  <si>
    <t xml:space="preserve">PQ YAGUR AL SUR VASO 150GX4</t>
  </si>
  <si>
    <t xml:space="preserve">4767</t>
  </si>
  <si>
    <t xml:space="preserve">PQ YAGUR AL BOLSA 150GX10U</t>
  </si>
  <si>
    <t xml:space="preserve">4768</t>
  </si>
  <si>
    <t xml:space="preserve">PQ YAGUR AL BOLSA 200G X6U</t>
  </si>
  <si>
    <t xml:space="preserve">KUMIS</t>
  </si>
  <si>
    <t xml:space="preserve">KUMIS COLANTA GFA X4L</t>
  </si>
  <si>
    <t xml:space="preserve">4625</t>
  </si>
  <si>
    <t xml:space="preserve">KUMIS COLANTA GFA X1L</t>
  </si>
  <si>
    <t xml:space="preserve">4636</t>
  </si>
  <si>
    <t xml:space="preserve">KUMIS COLANTA BOL X200G</t>
  </si>
  <si>
    <t xml:space="preserve">4637</t>
  </si>
  <si>
    <t xml:space="preserve">KUMIS COLANTA BOL X1L</t>
  </si>
  <si>
    <t xml:space="preserve">4644</t>
  </si>
  <si>
    <t xml:space="preserve">KUMIS COLANTA VASO X150G</t>
  </si>
  <si>
    <t xml:space="preserve">4631</t>
  </si>
  <si>
    <t xml:space="preserve">KUMIS COLANTA VASO X200G</t>
  </si>
  <si>
    <t xml:space="preserve">CARNICOS</t>
  </si>
  <si>
    <t xml:space="preserve">0480</t>
  </si>
  <si>
    <t xml:space="preserve">CHORIZO ARGENTINO x 500 G</t>
  </si>
  <si>
    <t xml:space="preserve">0481</t>
  </si>
  <si>
    <t xml:space="preserve">CHORIZO DE ANTAÑO  x 500 G</t>
  </si>
  <si>
    <t xml:space="preserve">1180</t>
  </si>
  <si>
    <t xml:space="preserve">MORTADELA SELECCIONAD COLANTA 225G 15TAJ</t>
  </si>
  <si>
    <t xml:space="preserve">1183</t>
  </si>
  <si>
    <t xml:space="preserve">SALCHICHA TIPICA COLANTA X 225 G - 9 UDS</t>
  </si>
  <si>
    <t xml:space="preserve">6305</t>
  </si>
  <si>
    <t xml:space="preserve">PERNIL DE CERDO AHUMADO COLANTA TAJ 250G</t>
  </si>
  <si>
    <t xml:space="preserve">6333</t>
  </si>
  <si>
    <t xml:space="preserve">PERNIL DE CERDO AHUMADO COLANTA X1,5KG</t>
  </si>
  <si>
    <t xml:space="preserve">6335</t>
  </si>
  <si>
    <t xml:space="preserve">PERNIL DE CERDO AHUMADO COLANTA X800G</t>
  </si>
  <si>
    <t xml:space="preserve">6369</t>
  </si>
  <si>
    <t xml:space="preserve">PASTRAMI DE CERDO X500G</t>
  </si>
  <si>
    <t xml:space="preserve">7201</t>
  </si>
  <si>
    <t xml:space="preserve">CHORIZO CO'EL JALAPEÑO COLANTA X300G</t>
  </si>
  <si>
    <t xml:space="preserve">7213</t>
  </si>
  <si>
    <t xml:space="preserve">CHORIZO CAMPESINO COLANTA X25UND</t>
  </si>
  <si>
    <t xml:space="preserve">7216</t>
  </si>
  <si>
    <t xml:space="preserve">CHORIZO TERNERA COLANTA DPACK X100G</t>
  </si>
  <si>
    <t xml:space="preserve">7217</t>
  </si>
  <si>
    <t xml:space="preserve">CHORIZO CAMPESINO COLANTA X50G X2U</t>
  </si>
  <si>
    <t xml:space="preserve">7225</t>
  </si>
  <si>
    <t xml:space="preserve">CHORIZO STARROSANO COLANTA X500G</t>
  </si>
  <si>
    <t xml:space="preserve">7233</t>
  </si>
  <si>
    <t xml:space="preserve">CHORIZO STARROSANO COLANTA X250G</t>
  </si>
  <si>
    <t xml:space="preserve">7234</t>
  </si>
  <si>
    <t xml:space="preserve">CHORIZO CAMPESINO COLANTA X250G</t>
  </si>
  <si>
    <t xml:space="preserve">7241</t>
  </si>
  <si>
    <t xml:space="preserve">CHORIZO STARROSANO DUOPACK COLANTA X100G</t>
  </si>
  <si>
    <t xml:space="preserve">7245</t>
  </si>
  <si>
    <t xml:space="preserve">CHORIZO CO'EL TERNERA COLANTA X300G</t>
  </si>
  <si>
    <t xml:space="preserve">7274</t>
  </si>
  <si>
    <t xml:space="preserve">BLACK PUDDING COLANTA X300G</t>
  </si>
  <si>
    <t xml:space="preserve">7287</t>
  </si>
  <si>
    <t xml:space="preserve">MORCILLA PARA BROCHETA COLANTA X500G</t>
  </si>
  <si>
    <t xml:space="preserve">7291</t>
  </si>
  <si>
    <t xml:space="preserve">CHORIZO STARROSANO MONTEF ESTANDAR X250G</t>
  </si>
  <si>
    <t xml:space="preserve">7307</t>
  </si>
  <si>
    <t xml:space="preserve">SALCHICHA COLANTA X450G</t>
  </si>
  <si>
    <t xml:space="preserve">7316</t>
  </si>
  <si>
    <t xml:space="preserve">SALCHICHA COLANTA X225G</t>
  </si>
  <si>
    <t xml:space="preserve">7335</t>
  </si>
  <si>
    <t xml:space="preserve">SALCHICHA WEST COLANTA X36G X2U</t>
  </si>
  <si>
    <t xml:space="preserve">7336</t>
  </si>
  <si>
    <t xml:space="preserve">SALCHICHA WEST COLANTA X215G</t>
  </si>
  <si>
    <t xml:space="preserve">7337</t>
  </si>
  <si>
    <t xml:space="preserve">SALCHICHA WEST COLANTA X430G</t>
  </si>
  <si>
    <t xml:space="preserve">7338</t>
  </si>
  <si>
    <t xml:space="preserve">SALCHICHA XL COLANTA X 900 G</t>
  </si>
  <si>
    <t xml:space="preserve">7340</t>
  </si>
  <si>
    <t xml:space="preserve">SALCHICHA XL COLANTA X 1800 G</t>
  </si>
  <si>
    <t xml:space="preserve">7341</t>
  </si>
  <si>
    <t xml:space="preserve">SALCHICHA  DUO PACK COLANTA X 90 G</t>
  </si>
  <si>
    <t xml:space="preserve">7350</t>
  </si>
  <si>
    <t xml:space="preserve">CHORIZO CON TERNERA COLANTA X 450G</t>
  </si>
  <si>
    <t xml:space="preserve">7351</t>
  </si>
  <si>
    <t xml:space="preserve">CHORIZO TERNERA COLANTA 2813GX50U</t>
  </si>
  <si>
    <t xml:space="preserve">7353</t>
  </si>
  <si>
    <t xml:space="preserve">CHORIZO TERNERA COLANTA X225G</t>
  </si>
  <si>
    <t xml:space="preserve">7354</t>
  </si>
  <si>
    <t xml:space="preserve">CHORIZO CAMPESINO COLANTA X450G</t>
  </si>
  <si>
    <t xml:space="preserve">7355</t>
  </si>
  <si>
    <t xml:space="preserve">CHORIZO SANTARROSANO COLANTA X1125G X20U</t>
  </si>
  <si>
    <t xml:space="preserve">7356</t>
  </si>
  <si>
    <t xml:space="preserve">JAMON SANDUCHE COLANTA TAJADO X902G</t>
  </si>
  <si>
    <t xml:space="preserve">7358</t>
  </si>
  <si>
    <t xml:space="preserve">JAMON SANDUCHE COLANTA TAJADO X143G</t>
  </si>
  <si>
    <t xml:space="preserve">7360</t>
  </si>
  <si>
    <t xml:space="preserve">MORCILLA COLANTA X  450 G</t>
  </si>
  <si>
    <t xml:space="preserve">7361</t>
  </si>
  <si>
    <t xml:space="preserve">MORCILLA COLANTA X 225 G</t>
  </si>
  <si>
    <t xml:space="preserve">7362</t>
  </si>
  <si>
    <t xml:space="preserve">MORCILLA COLANTA X 1.125 G</t>
  </si>
  <si>
    <t xml:space="preserve">7366</t>
  </si>
  <si>
    <t xml:space="preserve">TOCINETA COLANTA X 135 G</t>
  </si>
  <si>
    <t xml:space="preserve">7368</t>
  </si>
  <si>
    <t xml:space="preserve">SALCHICHON MONTEFRIO ESTANDAR X 450 G</t>
  </si>
  <si>
    <t xml:space="preserve">7369</t>
  </si>
  <si>
    <t xml:space="preserve">SALCHICHON MONTEFRIO ESTADAR X 225 G</t>
  </si>
  <si>
    <t xml:space="preserve">7394</t>
  </si>
  <si>
    <t xml:space="preserve">CHORIZO SANTARROSANO TAJADO 225G</t>
  </si>
  <si>
    <t xml:space="preserve">7405</t>
  </si>
  <si>
    <t xml:space="preserve">SALCHICHON CERVECERO COLANTA X1KG</t>
  </si>
  <si>
    <t xml:space="preserve">7410</t>
  </si>
  <si>
    <t xml:space="preserve">SALCHICHON CERVECERO COLANTA X500G</t>
  </si>
  <si>
    <t xml:space="preserve">7416</t>
  </si>
  <si>
    <t xml:space="preserve">SALCHICHON CERVECERO COLANTA TAJADO X50G</t>
  </si>
  <si>
    <t xml:space="preserve">7431</t>
  </si>
  <si>
    <t xml:space="preserve">SALCHICHON FINO COLANTA X900G</t>
  </si>
  <si>
    <t xml:space="preserve">7436</t>
  </si>
  <si>
    <t xml:space="preserve">SALCHICHON FINO COLANTA X 450G</t>
  </si>
  <si>
    <t xml:space="preserve">7441</t>
  </si>
  <si>
    <t xml:space="preserve">SALCHICHON FINO COLANTA X 225G</t>
  </si>
  <si>
    <t xml:space="preserve">7444</t>
  </si>
  <si>
    <t xml:space="preserve">SALCHICHON FINO COLANTA X125G</t>
  </si>
  <si>
    <t xml:space="preserve">7478</t>
  </si>
  <si>
    <t xml:space="preserve">BUTIFARRA COLANTA X 450 G</t>
  </si>
  <si>
    <t xml:space="preserve">7485</t>
  </si>
  <si>
    <t xml:space="preserve">BUTIFARRA COLANTA X250G</t>
  </si>
  <si>
    <t xml:space="preserve">7502</t>
  </si>
  <si>
    <t xml:space="preserve">JAMON COLANTA BLOQUE X2,5KG</t>
  </si>
  <si>
    <t xml:space="preserve">7511</t>
  </si>
  <si>
    <t xml:space="preserve">JAMON SELECCIONADO COLANTA X450G</t>
  </si>
  <si>
    <t xml:space="preserve">7524</t>
  </si>
  <si>
    <t xml:space="preserve">JAMON SELECCIONADO COLANTA X225G</t>
  </si>
  <si>
    <t xml:space="preserve">7607</t>
  </si>
  <si>
    <t xml:space="preserve">HAMBURGUESA PREASADA SELEC COLANTA X500G</t>
  </si>
  <si>
    <t xml:space="preserve">7608</t>
  </si>
  <si>
    <t xml:space="preserve">HAMBURGUESA PRE ASADA COLANTA X400G</t>
  </si>
  <si>
    <t xml:space="preserve">7658</t>
  </si>
  <si>
    <t xml:space="preserve">HAMBURGUESA MONTEFRIO X 450 G</t>
  </si>
  <si>
    <t xml:space="preserve">7711</t>
  </si>
  <si>
    <t xml:space="preserve">TOCINETA COLANTA X 900 G</t>
  </si>
  <si>
    <t xml:space="preserve">7718</t>
  </si>
  <si>
    <t xml:space="preserve">TOCINETA COLANTA X 225 G</t>
  </si>
  <si>
    <t xml:space="preserve">TAMPICO</t>
  </si>
  <si>
    <t xml:space="preserve">6099</t>
  </si>
  <si>
    <t xml:space="preserve">TAMPICO CITRUS PET X330ML</t>
  </si>
  <si>
    <t xml:space="preserve">6031</t>
  </si>
  <si>
    <t xml:space="preserve">TAMPICO CITRUS BTLL X240ML</t>
  </si>
  <si>
    <t xml:space="preserve">5944</t>
  </si>
  <si>
    <t xml:space="preserve">TAMPICO CITRUS PET X250ML</t>
  </si>
  <si>
    <t xml:space="preserve">6061</t>
  </si>
  <si>
    <t xml:space="preserve">TAMPICO CITRUS BOL X125ML</t>
  </si>
  <si>
    <t xml:space="preserve">6069</t>
  </si>
  <si>
    <t xml:space="preserve">TAMPICO CITRUS PET X500ML</t>
  </si>
  <si>
    <t xml:space="preserve">6027</t>
  </si>
  <si>
    <t xml:space="preserve">TAMPICO CITRUS X250ML X6U</t>
  </si>
  <si>
    <t xml:space="preserve">5939</t>
  </si>
  <si>
    <t xml:space="preserve">TAMPICO CITRUS BOL X250ML X10U</t>
  </si>
  <si>
    <t xml:space="preserve">6020</t>
  </si>
  <si>
    <t xml:space="preserve">TAMPICO CITRUS JUNIOR X150ML</t>
  </si>
  <si>
    <t xml:space="preserve">6032</t>
  </si>
  <si>
    <t xml:space="preserve">TAMPICO CITRUS BTLL X240ML X6U</t>
  </si>
  <si>
    <t xml:space="preserve">6008</t>
  </si>
  <si>
    <t xml:space="preserve">TAMPICO CITRUS GFA X1 L</t>
  </si>
  <si>
    <t xml:space="preserve">5963</t>
  </si>
  <si>
    <t xml:space="preserve">TAMPICO BLUEBERRY PET 330</t>
  </si>
  <si>
    <t xml:space="preserve">6021</t>
  </si>
  <si>
    <t xml:space="preserve">TAMPICO CITRUS JUNIOR X150ML X8U</t>
  </si>
  <si>
    <t xml:space="preserve">6005</t>
  </si>
  <si>
    <t xml:space="preserve">TAMPICO CITRUS GFA X2L</t>
  </si>
  <si>
    <t xml:space="preserve">5954</t>
  </si>
  <si>
    <t xml:space="preserve">TAMPICO CITRUS BTLL X250ML X6U</t>
  </si>
  <si>
    <t xml:space="preserve">6013</t>
  </si>
  <si>
    <t xml:space="preserve">TAMPICO CITRUS BOL X200ML</t>
  </si>
  <si>
    <t xml:space="preserve">5951</t>
  </si>
  <si>
    <t xml:space="preserve">TAMPICO CITRUS TETRABASE X200ML</t>
  </si>
  <si>
    <t xml:space="preserve">6002</t>
  </si>
  <si>
    <t xml:space="preserve">TAMPICO CITRUS GFA X4L</t>
  </si>
  <si>
    <t xml:space="preserve">5946</t>
  </si>
  <si>
    <t xml:space="preserve">TAMPICO CERO CITRUS BTLL X250ML</t>
  </si>
  <si>
    <t xml:space="preserve">5948</t>
  </si>
  <si>
    <t xml:space="preserve">TAMPICO CERO BOT X250ML X6U</t>
  </si>
  <si>
    <t xml:space="preserve">0409</t>
  </si>
  <si>
    <t xml:space="preserve">TAMPICO CERO AZUCAR GARRAFA 2L</t>
  </si>
  <si>
    <t xml:space="preserve">5959</t>
  </si>
  <si>
    <t xml:space="preserve">TAMPICO CITRUS PUNCH TETRA 1000 ML</t>
  </si>
  <si>
    <t xml:space="preserve">5945</t>
  </si>
  <si>
    <t xml:space="preserve">TAMPICO CERO CITRUS BTLL X500ML</t>
  </si>
  <si>
    <t xml:space="preserve">5947</t>
  </si>
  <si>
    <t xml:space="preserve">TAMPICO CERO CITRUS BOL X250ML X6U</t>
  </si>
  <si>
    <t xml:space="preserve">JUGOS NATURALES</t>
  </si>
  <si>
    <t xml:space="preserve">8004</t>
  </si>
  <si>
    <t xml:space="preserve">JUGO MANDARINA X 1L</t>
  </si>
  <si>
    <t xml:space="preserve">8003</t>
  </si>
  <si>
    <t xml:space="preserve">JUGO MANDARINA X 500ML</t>
  </si>
  <si>
    <t xml:space="preserve">8081</t>
  </si>
  <si>
    <t xml:space="preserve">JUGO ANRANJA TETRA X 1L</t>
  </si>
  <si>
    <t xml:space="preserve">8002</t>
  </si>
  <si>
    <t xml:space="preserve">JUGO NARANJA X 1 L</t>
  </si>
  <si>
    <t xml:space="preserve">8001</t>
  </si>
  <si>
    <t xml:space="preserve">JUGO NARANJA X 500ML</t>
  </si>
  <si>
    <t xml:space="preserve">MIEL</t>
  </si>
  <si>
    <t xml:space="preserve">8423</t>
  </si>
  <si>
    <t xml:space="preserve">MIEL COLANTA BOTELLA DISP x 490 GR</t>
  </si>
  <si>
    <t xml:space="preserve">LECHE CONDENSADA</t>
  </si>
  <si>
    <t xml:space="preserve">4041</t>
  </si>
  <si>
    <t xml:space="preserve">LECHE CONDENSADA DOYPACK X 300 G </t>
  </si>
  <si>
    <t xml:space="preserve">4049</t>
  </si>
  <si>
    <t xml:space="preserve">LECHE CONDENSADA X 5 K</t>
  </si>
  <si>
    <t xml:space="preserve">4000</t>
  </si>
  <si>
    <t xml:space="preserve">LECHE CONDENSADA DOYPACK X 100 G </t>
  </si>
  <si>
    <t xml:space="preserve">4077</t>
  </si>
  <si>
    <t xml:space="preserve">LECHE CONDENSADA SACHET X 20G X 12UND</t>
  </si>
  <si>
    <t xml:space="preserve">4042</t>
  </si>
  <si>
    <t xml:space="preserve">LECHE CONDENSADA DOYPACK X 1KG </t>
  </si>
  <si>
    <t xml:space="preserve">POSTRES </t>
  </si>
  <si>
    <t xml:space="preserve">4091</t>
  </si>
  <si>
    <t xml:space="preserve">MANJAR BLANCO COLANTA X250G</t>
  </si>
  <si>
    <t xml:space="preserve">4214</t>
  </si>
  <si>
    <t xml:space="preserve">PETITO FRESA COLANTA X50G X2U</t>
  </si>
  <si>
    <t xml:space="preserve">4215</t>
  </si>
  <si>
    <t xml:space="preserve">PETITO MELO COLANTA X50G X2U</t>
  </si>
  <si>
    <t xml:space="preserve">4216</t>
  </si>
  <si>
    <t xml:space="preserve">PETITO MORA COLANTA X50G X2U</t>
  </si>
  <si>
    <t xml:space="preserve">4217</t>
  </si>
  <si>
    <t xml:space="preserve">PETITO SURT COLANTA X100G X3U</t>
  </si>
  <si>
    <t xml:space="preserve">4222</t>
  </si>
  <si>
    <t xml:space="preserve">NEVAR DE MORA x 200G</t>
  </si>
  <si>
    <t xml:space="preserve">4234</t>
  </si>
  <si>
    <t xml:space="preserve">NEVAR DE MARACUYA x 200G</t>
  </si>
  <si>
    <t xml:space="preserve">6105</t>
  </si>
  <si>
    <t xml:space="preserve">GELAT TWISTY FRESA COLANTA X120G</t>
  </si>
  <si>
    <t xml:space="preserve">6107</t>
  </si>
  <si>
    <t xml:space="preserve">GELAT TWISTY MORA COLANTA X120G</t>
  </si>
  <si>
    <t xml:space="preserve">6108</t>
  </si>
  <si>
    <t xml:space="preserve">GELAT TWISTY NARANJA COLANTA X120G</t>
  </si>
  <si>
    <t xml:space="preserve">6109</t>
  </si>
  <si>
    <t xml:space="preserve">GELAT TWISTY UVACOLANTA X120G</t>
  </si>
  <si>
    <t xml:space="preserve">6117</t>
  </si>
  <si>
    <t xml:space="preserve">GELAT TWISTY SURTIDA COLANTA X120G X4U</t>
  </si>
  <si>
    <t xml:space="preserve">Medellín,  Octubre de 2009</t>
  </si>
  <si>
    <t xml:space="preserve">C.I UNIBAN</t>
  </si>
  <si>
    <t xml:space="preserve">TURBANA CHIPS</t>
  </si>
  <si>
    <t xml:space="preserve">I.V.A</t>
  </si>
  <si>
    <t xml:space="preserve">Platanitos Turbana Chips x 30 Grs</t>
  </si>
  <si>
    <t xml:space="preserve">Platanitos Turbana Chips x 95 Grs</t>
  </si>
  <si>
    <t xml:space="preserve">Platanitos Turbana Chips x 284 Grs</t>
  </si>
  <si>
    <t xml:space="preserve">Sabores disponibles : Natural - Limon - Chile </t>
  </si>
  <si>
    <t xml:space="preserve">                                 Chile Limon </t>
  </si>
  <si>
    <t xml:space="preserve">                                               LACTEOS BUENOS AIRES S.A.S                              </t>
  </si>
  <si>
    <t xml:space="preserve">       NIT: 800-136-998-1</t>
  </si>
  <si>
    <t xml:space="preserve">LINEA BARY</t>
  </si>
  <si>
    <t xml:space="preserve">BR0035</t>
  </si>
  <si>
    <t xml:space="preserve">BREVAS EN SU JUGO BARY *600g.</t>
  </si>
  <si>
    <t xml:space="preserve">CHIMICHURRI ARGENTINO *</t>
  </si>
  <si>
    <t xml:space="preserve">GALON</t>
  </si>
  <si>
    <t xml:space="preserve">BR3524</t>
  </si>
  <si>
    <t xml:space="preserve">CHIMICHURRI ARGENTINO DOY PACK</t>
  </si>
  <si>
    <t xml:space="preserve">BR1789</t>
  </si>
  <si>
    <t xml:space="preserve">MAYONESA *200g. CON T.</t>
  </si>
  <si>
    <t xml:space="preserve">BR0813</t>
  </si>
  <si>
    <t xml:space="preserve">MAYONESA *200g. SIN T.</t>
  </si>
  <si>
    <t xml:space="preserve">BR1049</t>
  </si>
  <si>
    <t xml:space="preserve">MAYONESA *400g. CON T.</t>
  </si>
  <si>
    <t xml:space="preserve">BR0523</t>
  </si>
  <si>
    <t xml:space="preserve">MAYONESA *3800g</t>
  </si>
  <si>
    <t xml:space="preserve">BR1391</t>
  </si>
  <si>
    <t xml:space="preserve">MAYONESA BARY CUÑETE</t>
  </si>
  <si>
    <t xml:space="preserve">CUÑETE</t>
  </si>
  <si>
    <t xml:space="preserve">BR2787</t>
  </si>
  <si>
    <t xml:space="preserve">MAYONESA D*24Un. *50g.</t>
  </si>
  <si>
    <t xml:space="preserve">DISPLAY</t>
  </si>
  <si>
    <t xml:space="preserve">BR0028</t>
  </si>
  <si>
    <t xml:space="preserve">MIEL MAPLE BARY *480gr.</t>
  </si>
  <si>
    <t xml:space="preserve">BR1796</t>
  </si>
  <si>
    <t xml:space="preserve">MOSTAZA *200g. CON T.</t>
  </si>
  <si>
    <t xml:space="preserve">BR0431</t>
  </si>
  <si>
    <t xml:space="preserve">MOSTAZA *4000 grs</t>
  </si>
  <si>
    <t xml:space="preserve">BR0073</t>
  </si>
  <si>
    <t xml:space="preserve">PASTA DE TOMATE *4300g.</t>
  </si>
  <si>
    <t xml:space="preserve">BR1802</t>
  </si>
  <si>
    <t xml:space="preserve">ROSADA  *200g. CON T.</t>
  </si>
  <si>
    <t xml:space="preserve">BR0400</t>
  </si>
  <si>
    <t xml:space="preserve">ROSADA *4050grs</t>
  </si>
  <si>
    <t xml:space="preserve">BR0165</t>
  </si>
  <si>
    <t xml:space="preserve">SALSA BBQ *4550grs</t>
  </si>
  <si>
    <t xml:space="preserve">BR1407</t>
  </si>
  <si>
    <t xml:space="preserve">SALSA BBQ CUÑETE</t>
  </si>
  <si>
    <t xml:space="preserve">BR3517</t>
  </si>
  <si>
    <t xml:space="preserve">SALSA BBQ DOY PACK*200</t>
  </si>
  <si>
    <t xml:space="preserve">BR1490</t>
  </si>
  <si>
    <t xml:space="preserve">SALSA DE SOYA BARY *165g.</t>
  </si>
  <si>
    <t xml:space="preserve">BR1483</t>
  </si>
  <si>
    <t xml:space="preserve">SALSA DE SOYA BARY *3000cc.</t>
  </si>
  <si>
    <t xml:space="preserve">GFA.</t>
  </si>
  <si>
    <t xml:space="preserve">BR1414</t>
  </si>
  <si>
    <t xml:space="preserve">SALSA DE TOMATE BARY CUÑETE</t>
  </si>
  <si>
    <t xml:space="preserve">BR0936</t>
  </si>
  <si>
    <t xml:space="preserve">SALSA NEGRA *165c.c.</t>
  </si>
  <si>
    <t xml:space="preserve">BR1506</t>
  </si>
  <si>
    <t xml:space="preserve">SALSA NEGRA *3000cc.</t>
  </si>
  <si>
    <t xml:space="preserve">GRFA</t>
  </si>
  <si>
    <t xml:space="preserve">BR2794</t>
  </si>
  <si>
    <t xml:space="preserve">SALSA PARA CARNES BARY*180g.</t>
  </si>
  <si>
    <t xml:space="preserve">BR1765</t>
  </si>
  <si>
    <t xml:space="preserve">SALSA TOMATE *200g. CON T.</t>
  </si>
  <si>
    <t xml:space="preserve">BR0790</t>
  </si>
  <si>
    <t xml:space="preserve">SALSA TOMATE *200g. SIN T.</t>
  </si>
  <si>
    <t xml:space="preserve">BR1032</t>
  </si>
  <si>
    <t xml:space="preserve">SALSA TOMATE *400g. CON T.</t>
  </si>
  <si>
    <t xml:space="preserve">BR0158</t>
  </si>
  <si>
    <t xml:space="preserve">SALSA TOMATE BARY *4350g.</t>
  </si>
  <si>
    <t xml:space="preserve">BR0295</t>
  </si>
  <si>
    <t xml:space="preserve">SALSA TOMATE BARY *570g.</t>
  </si>
  <si>
    <t xml:space="preserve">BR2770</t>
  </si>
  <si>
    <t xml:space="preserve">SALSA TOMATE D*24Un. *50g.</t>
  </si>
  <si>
    <t xml:space="preserve">BR0141</t>
  </si>
  <si>
    <t xml:space="preserve">VINAGRE BLANCO *3000cc.</t>
  </si>
  <si>
    <t xml:space="preserve">BR0905</t>
  </si>
  <si>
    <t xml:space="preserve">VINAGRE BLANCO *500cc.</t>
  </si>
  <si>
    <t xml:space="preserve">BR0615</t>
  </si>
  <si>
    <t xml:space="preserve">VINAGRE DE FRUTAS *3000cc.</t>
  </si>
  <si>
    <t xml:space="preserve">BR0929</t>
  </si>
  <si>
    <t xml:space="preserve">VINAGRE DE FRUTAS *500cc.</t>
  </si>
  <si>
    <t xml:space="preserve">BR1797</t>
  </si>
  <si>
    <t xml:space="preserve">CERNIDO DE PIÑA *4390grs</t>
  </si>
  <si>
    <t xml:space="preserve">Linea Institucional</t>
  </si>
  <si>
    <t xml:space="preserve">                                                 LACTEOS BUENOS AIRES S.A.S                             </t>
  </si>
  <si>
    <t xml:space="preserve">CEREALES KELLOGS</t>
  </si>
  <si>
    <t xml:space="preserve">CORN FLAKES *500gr.</t>
  </si>
  <si>
    <t xml:space="preserve">D92555</t>
  </si>
  <si>
    <t xml:space="preserve">MUSLI *300gr.</t>
  </si>
  <si>
    <t xml:space="preserve">D92045</t>
  </si>
  <si>
    <t xml:space="preserve">ALL BRAN KELLOGGS *400 Grs.</t>
  </si>
  <si>
    <t xml:space="preserve">D92225</t>
  </si>
  <si>
    <t xml:space="preserve">CORN FLAKES *200gr.</t>
  </si>
  <si>
    <t xml:space="preserve">D92415</t>
  </si>
  <si>
    <t xml:space="preserve">SPECIAL K *200gr.</t>
  </si>
  <si>
    <t xml:space="preserve">D40513</t>
  </si>
  <si>
    <t xml:space="preserve">CHOCOKRISPI MEGAPAK.*130Grs</t>
  </si>
  <si>
    <t xml:space="preserve">D92105</t>
  </si>
  <si>
    <t xml:space="preserve">CHOCOKRISPI *320gr.</t>
  </si>
  <si>
    <t xml:space="preserve">D92525</t>
  </si>
  <si>
    <t xml:space="preserve">CHOCOKRISPI LOTERO D*6Un.</t>
  </si>
  <si>
    <t xml:space="preserve">CHOCOKRISPI *550gr</t>
  </si>
  <si>
    <t xml:space="preserve">CHOCOKRISPI *700gr</t>
  </si>
  <si>
    <t xml:space="preserve">FROOT LOOPS *405gr</t>
  </si>
  <si>
    <t xml:space="preserve">D92435</t>
  </si>
  <si>
    <t xml:space="preserve">FROOT LOOPS *230</t>
  </si>
  <si>
    <t xml:space="preserve">D92522</t>
  </si>
  <si>
    <t xml:space="preserve">FROOT LOOPS LOTERO D*6Un.</t>
  </si>
  <si>
    <t xml:space="preserve">D92528</t>
  </si>
  <si>
    <t xml:space="preserve">ZUCARITAS LOTERO D*6Un.</t>
  </si>
  <si>
    <t xml:space="preserve">D40514</t>
  </si>
  <si>
    <t xml:space="preserve">ZUCARITAS MEGAPAK*130Grs</t>
  </si>
  <si>
    <t xml:space="preserve">D92795</t>
  </si>
  <si>
    <t xml:space="preserve">ZUCARITAS *300gr.</t>
  </si>
  <si>
    <t xml:space="preserve">GRANOLA X 275</t>
  </si>
  <si>
    <t xml:space="preserve">D92827</t>
  </si>
  <si>
    <t xml:space="preserve">ZUCARITAS CAJA*730 Grs</t>
  </si>
  <si>
    <t xml:space="preserve">                                                       PAPEL ALUMINIO ZEUX</t>
  </si>
  <si>
    <t xml:space="preserve">D92443</t>
  </si>
  <si>
    <t xml:space="preserve">PAPEL ALUMINIO *7 Mts.</t>
  </si>
  <si>
    <t xml:space="preserve">D92444</t>
  </si>
  <si>
    <t xml:space="preserve">PAPEL ALUMINIO *13 Mts.</t>
  </si>
  <si>
    <t xml:space="preserve">D92446</t>
  </si>
  <si>
    <t xml:space="preserve">PAPEL ALUMINIO *300 Mts.</t>
  </si>
  <si>
    <t xml:space="preserve">                                                                                                                                         LUJUS</t>
  </si>
  <si>
    <t xml:space="preserve">DV1030</t>
  </si>
  <si>
    <t xml:space="preserve">LECHE CONDENSADA *1300g.</t>
  </si>
  <si>
    <t xml:space="preserve">DV1031</t>
  </si>
  <si>
    <t xml:space="preserve">LECHE CONDENSADA 2.650g.</t>
  </si>
  <si>
    <t xml:space="preserve">DV1032</t>
  </si>
  <si>
    <t xml:space="preserve">LECHE CONDENSADA *5.300g</t>
  </si>
  <si>
    <t xml:space="preserve">DV1035</t>
  </si>
  <si>
    <t xml:space="preserve">LECHE CONDENSADA *465g.</t>
  </si>
  <si>
    <t xml:space="preserve">               LISTA DE PRECIOS</t>
  </si>
  <si>
    <t xml:space="preserve">                   ENER. 2011</t>
  </si>
  <si>
    <t xml:space="preserve">                CALLE 26A No 43F-14 MEDELLIN</t>
  </si>
  <si>
    <t xml:space="preserve">LINEA FRUGAL</t>
  </si>
  <si>
    <t xml:space="preserve">F14730</t>
  </si>
  <si>
    <t xml:space="preserve">SALSA DE TOMATE 4.500 Grs</t>
  </si>
  <si>
    <t xml:space="preserve">F14760</t>
  </si>
  <si>
    <t xml:space="preserve">SALSA ROSADA *3900grs</t>
  </si>
  <si>
    <t xml:space="preserve">F16730</t>
  </si>
  <si>
    <t xml:space="preserve">MAYONESA 3.600 Grs</t>
  </si>
  <si>
    <t xml:space="preserve">F18730</t>
  </si>
  <si>
    <t xml:space="preserve">MOSTAZA 4.400 Grs</t>
  </si>
  <si>
    <t xml:space="preserve">SALSA DE TOMATE 5.000 Grs</t>
  </si>
  <si>
    <t xml:space="preserve">SALSA ROSADA 5.000 Grs</t>
  </si>
  <si>
    <t xml:space="preserve">MAYONESA 5.000 Grs</t>
  </si>
  <si>
    <t xml:space="preserve">LINEA QUESO COSTEÑO</t>
  </si>
  <si>
    <t xml:space="preserve">CQ0001</t>
  </si>
  <si>
    <t xml:space="preserve">QUESO COSTEÑO </t>
  </si>
  <si>
    <t xml:space="preserve">LINEA CONGELADOS</t>
  </si>
  <si>
    <t xml:space="preserve">PRODUCTOS MC. BROWN</t>
  </si>
  <si>
    <t xml:space="preserve">M9501</t>
  </si>
  <si>
    <t xml:space="preserve">CROQUETA DE YUCA * KILO</t>
  </si>
  <si>
    <t xml:space="preserve">M9611</t>
  </si>
  <si>
    <t xml:space="preserve">PAPA RIZADA 12*12 *KILO</t>
  </si>
  <si>
    <t xml:space="preserve">M9700</t>
  </si>
  <si>
    <t xml:space="preserve">PALITO DE QUESO*10</t>
  </si>
  <si>
    <t xml:space="preserve">BJA.</t>
  </si>
  <si>
    <t xml:space="preserve">M9703</t>
  </si>
  <si>
    <t xml:space="preserve">PALITO DE QUESO*20</t>
  </si>
  <si>
    <t xml:space="preserve">M9706</t>
  </si>
  <si>
    <t xml:space="preserve">PALITO QUESO *40</t>
  </si>
  <si>
    <t xml:space="preserve">M9801</t>
  </si>
  <si>
    <t xml:space="preserve">EMPANADA CHILENA*12 UND.</t>
  </si>
  <si>
    <t xml:space="preserve">M9802</t>
  </si>
  <si>
    <t xml:space="preserve">EMPANADA HAWAIANA*12 UND.</t>
  </si>
  <si>
    <t xml:space="preserve">M9937</t>
  </si>
  <si>
    <t xml:space="preserve">PAPA FRANCESA 12*12 SELEC. *KL</t>
  </si>
  <si>
    <t xml:space="preserve">M9938</t>
  </si>
  <si>
    <t xml:space="preserve">PAPA A LA FRANCESA 12*12 x KL</t>
  </si>
  <si>
    <t xml:space="preserve">M9940</t>
  </si>
  <si>
    <t xml:space="preserve">PAPA A LA FRANCESA 10*10 x KL</t>
  </si>
  <si>
    <t xml:space="preserve"> LAMB WESTON</t>
  </si>
  <si>
    <t xml:space="preserve">DM0002</t>
  </si>
  <si>
    <t xml:space="preserve">PAPA LISA*2.5 K / 11*11</t>
  </si>
  <si>
    <t xml:space="preserve">LA PARCELA</t>
  </si>
  <si>
    <t xml:space="preserve">LP0015</t>
  </si>
  <si>
    <t xml:space="preserve">SPORT BOTELLA MARACUYA *500c.c</t>
  </si>
  <si>
    <t xml:space="preserve">BTLL.</t>
  </si>
  <si>
    <t xml:space="preserve">LP0017</t>
  </si>
  <si>
    <t xml:space="preserve">SPORT BOTELLA MANGO *500c.c.</t>
  </si>
  <si>
    <t xml:space="preserve">BLLA.</t>
  </si>
  <si>
    <t xml:space="preserve">LP0025</t>
  </si>
  <si>
    <t xml:space="preserve">SPORT BOTELLA LIMONADA *500c.c</t>
  </si>
  <si>
    <t xml:space="preserve">LP3202</t>
  </si>
  <si>
    <t xml:space="preserve">SPORT BOTELLA LIMA LIMON *500c</t>
  </si>
  <si>
    <t xml:space="preserve">BTLLA</t>
  </si>
  <si>
    <t xml:space="preserve">LP3204</t>
  </si>
  <si>
    <t xml:space="preserve">SPORT BOTELLA NARANJA *500c.c.</t>
  </si>
  <si>
    <t xml:space="preserve">LP3206</t>
  </si>
  <si>
    <t xml:space="preserve">SPORT BOTELLA FRUTA TROPICAL*5</t>
  </si>
  <si>
    <t xml:space="preserve">LP3208</t>
  </si>
  <si>
    <t xml:space="preserve">SPORT BOTELLA MANDARINA *500cc</t>
  </si>
  <si>
    <t xml:space="preserve">LP3210</t>
  </si>
  <si>
    <t xml:space="preserve">SPORT BOTELLA DURAZNO *500cc.</t>
  </si>
  <si>
    <t xml:space="preserve">LP3212</t>
  </si>
  <si>
    <t xml:space="preserve">SPORT BOTELLA UVA *500cc.</t>
  </si>
  <si>
    <t xml:space="preserve">LP3220</t>
  </si>
  <si>
    <t xml:space="preserve">SPORT BOTELLA MORA *500cc.</t>
  </si>
  <si>
    <t xml:space="preserve">LP7621</t>
  </si>
  <si>
    <t xml:space="preserve">PARCELITO SURT.*150cc. D*30Un.</t>
  </si>
  <si>
    <t xml:space="preserve">                                                                         SETAS COLOMBIANAS</t>
  </si>
  <si>
    <t xml:space="preserve">SETAS COLOMBIANAS S.A</t>
  </si>
  <si>
    <t xml:space="preserve">PROCESADO</t>
  </si>
  <si>
    <t xml:space="preserve">ST0600</t>
  </si>
  <si>
    <t xml:space="preserve">CHAMPIÑON TJ.FRASCO*1000 Grs.</t>
  </si>
  <si>
    <t xml:space="preserve">FCO.</t>
  </si>
  <si>
    <t xml:space="preserve">ST1928</t>
  </si>
  <si>
    <t xml:space="preserve">CHAMP.PARTES Y TALLOS*3000 Grs</t>
  </si>
  <si>
    <t xml:space="preserve">ST1929</t>
  </si>
  <si>
    <t xml:space="preserve">CHAMPIÑON TJ.LATA *3000 Grs.</t>
  </si>
  <si>
    <t xml:space="preserve">ST2301</t>
  </si>
  <si>
    <t xml:space="preserve">CHAMPIÑON TAJADO *2300 Grs.</t>
  </si>
  <si>
    <t xml:space="preserve">ST2300</t>
  </si>
  <si>
    <t xml:space="preserve">CHAMPIÑON ENTERO *2300 Grs.</t>
  </si>
  <si>
    <t xml:space="preserve">FRESCO</t>
  </si>
  <si>
    <t xml:space="preserve">ST1000</t>
  </si>
  <si>
    <t xml:space="preserve">CHAMPIÑON TAJADO BJ*1000Grs.</t>
  </si>
  <si>
    <t xml:space="preserve">BAND.</t>
  </si>
  <si>
    <t xml:space="preserve">ST1003</t>
  </si>
  <si>
    <t xml:space="preserve">CHAMPIÑON ENTERO BJ.*1000 Grs.</t>
  </si>
  <si>
    <t xml:space="preserve">ST1001</t>
  </si>
  <si>
    <t xml:space="preserve">CHAMPIÑON PORTOBELLO *1000 Grs.</t>
  </si>
  <si>
    <t xml:space="preserve">ST4111</t>
  </si>
  <si>
    <t xml:space="preserve">CHAMPIÑON ENTERO ORELLANA *1000 Grs</t>
  </si>
  <si>
    <t xml:space="preserve">ST5111</t>
  </si>
  <si>
    <t xml:space="preserve">CHAMPIÑON ENTERO SHITAKE*1000 Grs</t>
  </si>
  <si>
    <t xml:space="preserve">ST1002</t>
  </si>
  <si>
    <t xml:space="preserve">CHAMPIÑON BCO.GRANEL*1000 Grs</t>
  </si>
  <si>
    <t xml:space="preserve">CHAMPIÑON CRIMINI*1000 Grs</t>
  </si>
  <si>
    <t xml:space="preserve">ENR. 2011</t>
  </si>
  <si>
    <t xml:space="preserve">NESTLE</t>
  </si>
  <si>
    <t xml:space="preserve">NT0200</t>
  </si>
  <si>
    <t xml:space="preserve">L . CONDENSADA LA LECHERA*4.500 Grs</t>
  </si>
  <si>
    <t xml:space="preserve">NT0517</t>
  </si>
  <si>
    <t xml:space="preserve">CALDO GALLINA MAGGI POLVO* 1600 G.</t>
  </si>
  <si>
    <t xml:space="preserve">NT0512</t>
  </si>
  <si>
    <t xml:space="preserve">CALDO GALLINA MAGGI*270 Cubos</t>
  </si>
  <si>
    <t xml:space="preserve">MILO *1000 Grs</t>
  </si>
  <si>
    <t xml:space="preserve">NT0763</t>
  </si>
  <si>
    <t xml:space="preserve">MILO *2000 Grs.</t>
  </si>
  <si>
    <t xml:space="preserve">NT1203</t>
  </si>
  <si>
    <t xml:space="preserve">NESTEA LIMON * 1750 Grs.</t>
  </si>
  <si>
    <t xml:space="preserve">NT1209</t>
  </si>
  <si>
    <t xml:space="preserve">NESTEA DURAZNO *1750 Grs.</t>
  </si>
  <si>
    <t xml:space="preserve">CREMA DE LECHE * 295 Grs</t>
  </si>
  <si>
    <t xml:space="preserve">L . CONDENSADA LA LECHERA*400 Grs</t>
  </si>
  <si>
    <t xml:space="preserve">COBERTURA SEMIAMARGA *5K</t>
  </si>
  <si>
    <t xml:space="preserve">COBERTURA CACAO LECHE *5K</t>
  </si>
  <si>
    <t xml:space="preserve">GALLETA MACARENA *7K</t>
  </si>
  <si>
    <t xml:space="preserve">SALSA BECHAMEL *900 Grs</t>
  </si>
  <si>
    <t xml:space="preserve">SALSA DEMIGLACE *900 Grs</t>
  </si>
  <si>
    <t xml:space="preserve">CREMA DE POLLO MAGGI *900 Grs</t>
  </si>
  <si>
    <t xml:space="preserve">CREMA DE CHAMPIÑON MAGGI * 900 Grs</t>
  </si>
  <si>
    <t xml:space="preserve">NESCAFE TRADICION *500 Grs</t>
  </si>
  <si>
    <t xml:space="preserve">L .CONDENSADA LA LECHERA *800 Grs</t>
  </si>
  <si>
    <t xml:space="preserve">LACTEOS BUENOS AIRES</t>
  </si>
  <si>
    <t xml:space="preserve">MARZO DE 2010</t>
  </si>
  <si>
    <t xml:space="preserve">CALLE 26 No 43F-14 MEDELLIN</t>
  </si>
  <si>
    <t xml:space="preserve">ALIMENTOS SANTANA</t>
  </si>
  <si>
    <t xml:space="preserve">LINEA PULPAS DE FRUTA </t>
  </si>
  <si>
    <t xml:space="preserve">KILO </t>
  </si>
  <si>
    <t xml:space="preserve">KILO/PORCIONES</t>
  </si>
  <si>
    <t xml:space="preserve">MANDARINA*9</t>
  </si>
  <si>
    <t xml:space="preserve">MORA*10</t>
  </si>
  <si>
    <t xml:space="preserve">MARACUYA*10</t>
  </si>
  <si>
    <t xml:space="preserve">MANGO*10</t>
  </si>
  <si>
    <t xml:space="preserve">GUANABANA*10</t>
  </si>
  <si>
    <t xml:space="preserve">FRESA*10</t>
  </si>
  <si>
    <t xml:space="preserve">LULO*10</t>
  </si>
  <si>
    <t xml:space="preserve">PIÑA*10</t>
  </si>
  <si>
    <t xml:space="preserve">LIMON*10</t>
  </si>
  <si>
    <t xml:space="preserve">MANGO BICHE*5</t>
  </si>
  <si>
    <t xml:space="preserve">GUAYABA    </t>
  </si>
  <si>
    <t xml:space="preserve">GUAYABA FREIJOA*10</t>
  </si>
  <si>
    <t xml:space="preserve">UVA*10</t>
  </si>
  <si>
    <t xml:space="preserve">NISPERO*10</t>
  </si>
  <si>
    <t xml:space="preserve">CARAMBOLO*10</t>
  </si>
  <si>
    <t xml:space="preserve">TOMATE DE ARBOL</t>
  </si>
  <si>
    <t xml:space="preserve">CURUBA*10</t>
  </si>
  <si>
    <t xml:space="preserve">* Porcion para preparar vaso de 14 a 16 onzas</t>
  </si>
  <si>
    <t xml:space="preserve">LINEA JUGOS NATURALES</t>
  </si>
  <si>
    <t xml:space="preserve">NARANJA</t>
  </si>
  <si>
    <t xml:space="preserve">4 Litros</t>
  </si>
  <si>
    <t xml:space="preserve">UVA</t>
  </si>
  <si>
    <t xml:space="preserve">LIMON</t>
  </si>
  <si>
    <t xml:space="preserve">2 Litros</t>
  </si>
  <si>
    <t xml:space="preserve">Precios sin I.V.A incluido</t>
  </si>
  <si>
    <t xml:space="preserve">LINEA PRODUCTOS SANTO FRIO</t>
  </si>
  <si>
    <t xml:space="preserve">ESPARRAGO BCO ENTERO</t>
  </si>
  <si>
    <t xml:space="preserve">350 Grs</t>
  </si>
  <si>
    <t xml:space="preserve">250 Grs</t>
  </si>
  <si>
    <t xml:space="preserve">TALLOS Y PUNTAS</t>
  </si>
  <si>
    <t xml:space="preserve">960 Grs</t>
  </si>
  <si>
    <t xml:space="preserve">ESPARRAGO VERDE ENTERO</t>
  </si>
  <si>
    <t xml:space="preserve">MAZORQUITAS ENTERAS</t>
  </si>
  <si>
    <t xml:space="preserve">TROZOS DE MAZORQUITAS</t>
  </si>
  <si>
    <t xml:space="preserve">ENSALADA ESPECIAL</t>
  </si>
  <si>
    <t xml:space="preserve">* Precios sin I.V.A incluido</t>
  </si>
  <si>
    <t xml:space="preserve">LINEA ACEGRASAS</t>
  </si>
  <si>
    <t xml:space="preserve">PRODUCTO</t>
  </si>
  <si>
    <t xml:space="preserve">ACEITE QUALITY FRY *20 LTS</t>
  </si>
  <si>
    <t xml:space="preserve">BIDON</t>
  </si>
  <si>
    <t xml:space="preserve">ACEITE MULTI FRY * 20 LTS</t>
  </si>
  <si>
    <t xml:space="preserve">ACEITE SUPER FRY *20 LTS</t>
  </si>
  <si>
    <t xml:space="preserve">ACEITE GIRASOLI * 1000 Grs</t>
  </si>
  <si>
    <t xml:space="preserve">ACEITE GIRASOLI * 3000 Grs</t>
  </si>
  <si>
    <t xml:space="preserve">ACEITE GIRASOLI * 5000 Grs</t>
  </si>
  <si>
    <t xml:space="preserve">MARG. DAGUSTO INDUSTRIAL</t>
  </si>
  <si>
    <t xml:space="preserve">15 KILOS</t>
  </si>
  <si>
    <t xml:space="preserve">MARG. DAGUSTO * 500 Grs</t>
  </si>
  <si>
    <t xml:space="preserve">MARG. DAGUSTO * 250 Grs</t>
  </si>
  <si>
    <t xml:space="preserve">MARG. DAGUSTO DISPLAY *20</t>
  </si>
  <si>
    <t xml:space="preserve">HOJALDRINA * 500 Grs * 30</t>
  </si>
  <si>
    <t xml:space="preserve">WHIP TOPPING BASE * 4 K</t>
  </si>
  <si>
    <t xml:space="preserve">ACEITE DE OLIVA OLIVETTO</t>
  </si>
  <si>
    <t xml:space="preserve">AVENA CANELA UHT COLANTA BOL X200ML </t>
  </si>
  <si>
    <t xml:space="preserve">REVISAR</t>
  </si>
  <si>
    <t xml:space="preserve">AGUA SABORIZADA FRUTOS ROJOS </t>
  </si>
  <si>
    <t xml:space="preserve">AGUA SABORIZADA MARACUYA</t>
  </si>
  <si>
    <t xml:space="preserve">AGUA SABORIZADA LIMA LIMON</t>
  </si>
  <si>
    <t xml:space="preserve">MD3100</t>
  </si>
  <si>
    <t xml:space="preserve">Galleta Oreo 12 x 4 U x 36 gr.</t>
  </si>
  <si>
    <t xml:space="preserve">MD1000</t>
  </si>
  <si>
    <t xml:space="preserve">Galleta Club Social x 9 U x 26 gr.</t>
  </si>
  <si>
    <t xml:space="preserve">NT0738</t>
  </si>
  <si>
    <t xml:space="preserve">MILO NUGGETS DISPLAY X 18U X40G</t>
  </si>
  <si>
    <t xml:space="preserve">NT7989</t>
  </si>
  <si>
    <t xml:space="preserve">GALLETA ANILLOS MILO X 12U X 32.5G</t>
  </si>
  <si>
    <t xml:space="preserve">CONDICION DE PAGO MAXIMO A 3 DIAS – DOMICILIOS SIN NINGUN - 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</si>
</sst>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&quot;$ &quot;#,##0"/>
    <numFmt numFmtId="167" formatCode="mm/yy"/>
    <numFmt numFmtId="168" formatCode="&quot;$ &quot;#,##0.00_);[RED]&quot;($ &quot;#,##0.00\)"/>
    <numFmt numFmtId="169" formatCode="0\ %"/>
    <numFmt numFmtId="170" formatCode="_-[$$-240A]\ * #,##0_-;\-[$$-240A]\ * #,##0_-;_-[$$-240A]\ * \-??_-;_-@_-"/>
    <numFmt numFmtId="171" formatCode="[$$-240A]\ #,##0;[RED]\-[$$-240A]\ #,##0"/>
    <numFmt numFmtId="172" formatCode="&quot;$ &quot;#,##0_);[RED]&quot;($ &quot;#,##0\)"/>
  </numFmts>
  <fonts count="2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8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11"/>
      <color rgb="FF000000"/>
      <name val="Arial Black"/>
      <family val="2"/>
      <charset val="1"/>
    </font>
    <font>
      <sz val="11"/>
      <name val="Calibri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name val="Arial Black"/>
      <family val="2"/>
      <charset val="1"/>
    </font>
    <font>
      <sz val="11"/>
      <color rgb="FF000000"/>
      <name val="Tahoma"/>
      <family val="2"/>
      <charset val="1"/>
    </font>
    <font>
      <sz val="16"/>
      <color rgb="FF000000"/>
      <name val="Tahoma"/>
      <family val="2"/>
      <charset val="1"/>
    </font>
    <font>
      <sz val="18"/>
      <color rgb="FF000000"/>
      <name val="Tahoma"/>
      <family val="2"/>
      <charset val="1"/>
    </font>
    <font>
      <b val="true"/>
      <sz val="20"/>
      <color rgb="FF000000"/>
      <name val="Tahoma"/>
      <family val="2"/>
      <charset val="1"/>
    </font>
    <font>
      <b val="true"/>
      <sz val="14"/>
      <color rgb="FF000000"/>
      <name val="Tahoma"/>
      <family val="2"/>
      <charset val="1"/>
    </font>
    <font>
      <b val="true"/>
      <sz val="18"/>
      <color rgb="FF000000"/>
      <name val="Tahoma"/>
      <family val="2"/>
      <charset val="1"/>
    </font>
    <font>
      <b val="true"/>
      <sz val="11"/>
      <name val="Calibri"/>
      <family val="2"/>
      <charset val="1"/>
    </font>
    <font>
      <b val="true"/>
      <sz val="10"/>
      <name val="Calibri"/>
      <family val="2"/>
      <charset val="1"/>
    </font>
    <font>
      <sz val="1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FFC7CE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3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3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3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externalLink" Target="externalLinks/externalLink1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210960</xdr:colOff>
      <xdr:row>3</xdr:row>
      <xdr:rowOff>0</xdr:rowOff>
    </xdr:from>
    <xdr:to>
      <xdr:col>1</xdr:col>
      <xdr:colOff>961920</xdr:colOff>
      <xdr:row>8</xdr:row>
      <xdr:rowOff>49680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10960" y="581040"/>
          <a:ext cx="1325520" cy="10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210960</xdr:colOff>
      <xdr:row>52</xdr:row>
      <xdr:rowOff>0</xdr:rowOff>
    </xdr:from>
    <xdr:to>
      <xdr:col>1</xdr:col>
      <xdr:colOff>961920</xdr:colOff>
      <xdr:row>57</xdr:row>
      <xdr:rowOff>77760</xdr:rowOff>
    </xdr:to>
    <xdr:pic>
      <xdr:nvPicPr>
        <xdr:cNvPr id="1" name="Picture 1" descr=""/>
        <xdr:cNvPicPr/>
      </xdr:nvPicPr>
      <xdr:blipFill>
        <a:blip r:embed="rId2"/>
        <a:stretch/>
      </xdr:blipFill>
      <xdr:spPr>
        <a:xfrm>
          <a:off x="210960" y="10020240"/>
          <a:ext cx="1325520" cy="10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210960</xdr:colOff>
      <xdr:row>103</xdr:row>
      <xdr:rowOff>0</xdr:rowOff>
    </xdr:from>
    <xdr:to>
      <xdr:col>1</xdr:col>
      <xdr:colOff>961920</xdr:colOff>
      <xdr:row>108</xdr:row>
      <xdr:rowOff>29880</xdr:rowOff>
    </xdr:to>
    <xdr:pic>
      <xdr:nvPicPr>
        <xdr:cNvPr id="2" name="Picture 1" descr=""/>
        <xdr:cNvPicPr/>
      </xdr:nvPicPr>
      <xdr:blipFill>
        <a:blip r:embed="rId3"/>
        <a:stretch/>
      </xdr:blipFill>
      <xdr:spPr>
        <a:xfrm>
          <a:off x="210960" y="19573920"/>
          <a:ext cx="1325520" cy="1029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63000</xdr:colOff>
      <xdr:row>0</xdr:row>
      <xdr:rowOff>0</xdr:rowOff>
    </xdr:from>
    <xdr:to>
      <xdr:col>1</xdr:col>
      <xdr:colOff>894960</xdr:colOff>
      <xdr:row>6</xdr:row>
      <xdr:rowOff>132840</xdr:rowOff>
    </xdr:to>
    <xdr:pic>
      <xdr:nvPicPr>
        <xdr:cNvPr id="3" name="Imagen 2" descr=""/>
        <xdr:cNvPicPr/>
      </xdr:nvPicPr>
      <xdr:blipFill>
        <a:blip r:embed="rId1"/>
        <a:stretch/>
      </xdr:blipFill>
      <xdr:spPr>
        <a:xfrm>
          <a:off x="63000" y="0"/>
          <a:ext cx="138564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80640</xdr:colOff>
      <xdr:row>1</xdr:row>
      <xdr:rowOff>34920</xdr:rowOff>
    </xdr:from>
    <xdr:to>
      <xdr:col>5</xdr:col>
      <xdr:colOff>702720</xdr:colOff>
      <xdr:row>6</xdr:row>
      <xdr:rowOff>128160</xdr:rowOff>
    </xdr:to>
    <xdr:pic>
      <xdr:nvPicPr>
        <xdr:cNvPr id="4" name="Imagen 1" descr=""/>
        <xdr:cNvPicPr/>
      </xdr:nvPicPr>
      <xdr:blipFill>
        <a:blip r:embed="rId2"/>
        <a:stretch/>
      </xdr:blipFill>
      <xdr:spPr>
        <a:xfrm>
          <a:off x="4711680" y="235080"/>
          <a:ext cx="1860840" cy="1093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60840</xdr:colOff>
      <xdr:row>3</xdr:row>
      <xdr:rowOff>114480</xdr:rowOff>
    </xdr:from>
    <xdr:to>
      <xdr:col>1</xdr:col>
      <xdr:colOff>1386000</xdr:colOff>
      <xdr:row>8</xdr:row>
      <xdr:rowOff>135360</xdr:rowOff>
    </xdr:to>
    <xdr:pic>
      <xdr:nvPicPr>
        <xdr:cNvPr id="5" name="Picture 1" descr=""/>
        <xdr:cNvPicPr/>
      </xdr:nvPicPr>
      <xdr:blipFill>
        <a:blip r:embed="rId1"/>
        <a:stretch/>
      </xdr:blipFill>
      <xdr:spPr>
        <a:xfrm>
          <a:off x="583920" y="686160"/>
          <a:ext cx="1325160" cy="103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20160</xdr:colOff>
      <xdr:row>103</xdr:row>
      <xdr:rowOff>142920</xdr:rowOff>
    </xdr:from>
    <xdr:to>
      <xdr:col>1</xdr:col>
      <xdr:colOff>1345320</xdr:colOff>
      <xdr:row>108</xdr:row>
      <xdr:rowOff>144360</xdr:rowOff>
    </xdr:to>
    <xdr:pic>
      <xdr:nvPicPr>
        <xdr:cNvPr id="6" name="Picture 1" descr=""/>
        <xdr:cNvPicPr/>
      </xdr:nvPicPr>
      <xdr:blipFill>
        <a:blip r:embed="rId2"/>
        <a:stretch/>
      </xdr:blipFill>
      <xdr:spPr>
        <a:xfrm>
          <a:off x="543240" y="19917000"/>
          <a:ext cx="1325160" cy="101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71280</xdr:colOff>
      <xdr:row>57</xdr:row>
      <xdr:rowOff>114480</xdr:rowOff>
    </xdr:from>
    <xdr:to>
      <xdr:col>1</xdr:col>
      <xdr:colOff>1393560</xdr:colOff>
      <xdr:row>62</xdr:row>
      <xdr:rowOff>96480</xdr:rowOff>
    </xdr:to>
    <xdr:pic>
      <xdr:nvPicPr>
        <xdr:cNvPr id="7" name="Picture 1" descr=""/>
        <xdr:cNvPicPr/>
      </xdr:nvPicPr>
      <xdr:blipFill>
        <a:blip r:embed="rId3"/>
        <a:stretch/>
      </xdr:blipFill>
      <xdr:spPr>
        <a:xfrm>
          <a:off x="594360" y="11039760"/>
          <a:ext cx="1322280" cy="991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50760</xdr:colOff>
      <xdr:row>152</xdr:row>
      <xdr:rowOff>95400</xdr:rowOff>
    </xdr:from>
    <xdr:to>
      <xdr:col>1</xdr:col>
      <xdr:colOff>1375920</xdr:colOff>
      <xdr:row>157</xdr:row>
      <xdr:rowOff>58680</xdr:rowOff>
    </xdr:to>
    <xdr:pic>
      <xdr:nvPicPr>
        <xdr:cNvPr id="8" name="Picture 1" descr=""/>
        <xdr:cNvPicPr/>
      </xdr:nvPicPr>
      <xdr:blipFill>
        <a:blip r:embed="rId4"/>
        <a:stretch/>
      </xdr:blipFill>
      <xdr:spPr>
        <a:xfrm>
          <a:off x="573840" y="29298960"/>
          <a:ext cx="1325160" cy="97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50760</xdr:colOff>
      <xdr:row>202</xdr:row>
      <xdr:rowOff>95040</xdr:rowOff>
    </xdr:from>
    <xdr:to>
      <xdr:col>1</xdr:col>
      <xdr:colOff>1375920</xdr:colOff>
      <xdr:row>207</xdr:row>
      <xdr:rowOff>39960</xdr:rowOff>
    </xdr:to>
    <xdr:pic>
      <xdr:nvPicPr>
        <xdr:cNvPr id="9" name="Picture 1" descr=""/>
        <xdr:cNvPicPr/>
      </xdr:nvPicPr>
      <xdr:blipFill>
        <a:blip r:embed="rId5"/>
        <a:stretch/>
      </xdr:blipFill>
      <xdr:spPr>
        <a:xfrm>
          <a:off x="573840" y="38909520"/>
          <a:ext cx="1325160" cy="95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10080</xdr:colOff>
      <xdr:row>3</xdr:row>
      <xdr:rowOff>95040</xdr:rowOff>
    </xdr:from>
    <xdr:to>
      <xdr:col>2</xdr:col>
      <xdr:colOff>820080</xdr:colOff>
      <xdr:row>8</xdr:row>
      <xdr:rowOff>58680</xdr:rowOff>
    </xdr:to>
    <xdr:pic>
      <xdr:nvPicPr>
        <xdr:cNvPr id="10" name="Picture 1" descr=""/>
        <xdr:cNvPicPr/>
      </xdr:nvPicPr>
      <xdr:blipFill>
        <a:blip r:embed="rId1"/>
        <a:stretch/>
      </xdr:blipFill>
      <xdr:spPr>
        <a:xfrm>
          <a:off x="634320" y="666720"/>
          <a:ext cx="1454400" cy="934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9720</xdr:colOff>
      <xdr:row>5</xdr:row>
      <xdr:rowOff>95400</xdr:rowOff>
    </xdr:from>
    <xdr:to>
      <xdr:col>3</xdr:col>
      <xdr:colOff>779040</xdr:colOff>
      <xdr:row>10</xdr:row>
      <xdr:rowOff>39960</xdr:rowOff>
    </xdr:to>
    <xdr:pic>
      <xdr:nvPicPr>
        <xdr:cNvPr id="11" name="Picture 1" descr=""/>
        <xdr:cNvPicPr/>
      </xdr:nvPicPr>
      <xdr:blipFill>
        <a:blip r:embed="rId1"/>
        <a:stretch/>
      </xdr:blipFill>
      <xdr:spPr>
        <a:xfrm>
          <a:off x="462960" y="1047960"/>
          <a:ext cx="1554840" cy="91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10080</xdr:colOff>
      <xdr:row>7</xdr:row>
      <xdr:rowOff>152280</xdr:rowOff>
    </xdr:from>
    <xdr:to>
      <xdr:col>2</xdr:col>
      <xdr:colOff>811440</xdr:colOff>
      <xdr:row>12</xdr:row>
      <xdr:rowOff>153720</xdr:rowOff>
    </xdr:to>
    <xdr:pic>
      <xdr:nvPicPr>
        <xdr:cNvPr id="12" name="Picture 1" descr=""/>
        <xdr:cNvPicPr/>
      </xdr:nvPicPr>
      <xdr:blipFill>
        <a:blip r:embed="rId1"/>
        <a:stretch/>
      </xdr:blipFill>
      <xdr:spPr>
        <a:xfrm>
          <a:off x="321840" y="1485720"/>
          <a:ext cx="1586880" cy="9730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srv-base/Publica/DARGUIN/Precios%20Nuevos%20COLANTA%20DICIEMBRE%202025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</sheetNames>
    <sheetDataSet>
      <sheetData sheetId="0">
        <row r="7">
          <cell r="B7" t="str">
            <v>0409</v>
          </cell>
          <cell r="C7" t="str">
            <v>TAMPICO CERO AZUCAR GARRAFA 2L</v>
          </cell>
          <cell r="D7">
            <v>5773</v>
          </cell>
        </row>
        <row r="8">
          <cell r="B8">
            <v>1000480</v>
          </cell>
          <cell r="C8" t="str">
            <v>TAMPICO TROPICAL BTLL X240ML</v>
          </cell>
          <cell r="D8">
            <v>0</v>
          </cell>
        </row>
        <row r="9">
          <cell r="B9">
            <v>1000481</v>
          </cell>
          <cell r="C9" t="str">
            <v>TAMPICO CITRUS BTLL X240ML</v>
          </cell>
          <cell r="D9">
            <v>0</v>
          </cell>
        </row>
        <row r="10">
          <cell r="B10">
            <v>1000482</v>
          </cell>
          <cell r="C10" t="str">
            <v>TAMPICO CITRUS PET X500ML</v>
          </cell>
          <cell r="D10">
            <v>0</v>
          </cell>
        </row>
        <row r="11">
          <cell r="B11">
            <v>1000483</v>
          </cell>
          <cell r="C11" t="str">
            <v>TAMPICO CITRUS PET X330ML</v>
          </cell>
          <cell r="D11">
            <v>0</v>
          </cell>
        </row>
        <row r="12">
          <cell r="B12">
            <v>1174</v>
          </cell>
          <cell r="C12" t="str">
            <v>TAMPICO CERO BOLSA 250MLX6U CANJE SELLOS</v>
          </cell>
          <cell r="D12">
            <v>2008</v>
          </cell>
        </row>
        <row r="13">
          <cell r="B13" t="str">
            <v>519N</v>
          </cell>
          <cell r="C13" t="str">
            <v>TAMPICO CITRUS PET X330ML 5X6</v>
          </cell>
          <cell r="D13">
            <v>6487</v>
          </cell>
        </row>
        <row r="14">
          <cell r="B14">
            <v>5909</v>
          </cell>
          <cell r="C14" t="str">
            <v>TAMPICO TROPICAL PET X330ML</v>
          </cell>
          <cell r="D14">
            <v>1303</v>
          </cell>
        </row>
        <row r="15">
          <cell r="B15">
            <v>5913</v>
          </cell>
          <cell r="C15" t="str">
            <v>TAMPICO TROPICAL BTLL X240ML</v>
          </cell>
          <cell r="D15">
            <v>924</v>
          </cell>
        </row>
        <row r="16">
          <cell r="B16">
            <v>5914</v>
          </cell>
          <cell r="C16" t="str">
            <v>TAMPICO SURT BOL X250ML X6U</v>
          </cell>
          <cell r="D16">
            <v>3563</v>
          </cell>
        </row>
        <row r="17">
          <cell r="B17">
            <v>5920</v>
          </cell>
          <cell r="C17" t="str">
            <v>TAMPICO CITRUS BOL X125ML X15U</v>
          </cell>
          <cell r="D17">
            <v>4992</v>
          </cell>
        </row>
        <row r="18">
          <cell r="B18">
            <v>5922</v>
          </cell>
          <cell r="C18" t="str">
            <v>TAMPICO CITRUS BOL X250ML X24U</v>
          </cell>
          <cell r="D18">
            <v>13697</v>
          </cell>
        </row>
        <row r="19">
          <cell r="B19">
            <v>5939</v>
          </cell>
          <cell r="C19" t="str">
            <v>TAMPICO CITRUS BOL X250ML X10U</v>
          </cell>
          <cell r="D19">
            <v>5697</v>
          </cell>
        </row>
        <row r="20">
          <cell r="B20">
            <v>5943</v>
          </cell>
          <cell r="C20" t="str">
            <v>TAMPICO CERO CITRUS BOL X250ML</v>
          </cell>
          <cell r="D20">
            <v>630</v>
          </cell>
        </row>
        <row r="21">
          <cell r="B21">
            <v>5944</v>
          </cell>
          <cell r="C21" t="str">
            <v>TAMPICO CITRUS PET X250ML</v>
          </cell>
          <cell r="D21">
            <v>1050</v>
          </cell>
        </row>
        <row r="22">
          <cell r="B22">
            <v>5945</v>
          </cell>
          <cell r="C22" t="str">
            <v>TAMPICO CERO CITRUS BTLL X500ML</v>
          </cell>
          <cell r="D22">
            <v>1950</v>
          </cell>
        </row>
        <row r="23">
          <cell r="B23">
            <v>5946</v>
          </cell>
          <cell r="C23" t="str">
            <v>TAMPICO CERO CITRUS BTLL X250ML</v>
          </cell>
          <cell r="D23">
            <v>1050</v>
          </cell>
        </row>
        <row r="24">
          <cell r="B24">
            <v>5947</v>
          </cell>
          <cell r="C24" t="str">
            <v>TAMPICO CERO CITRUS BOL X250ML X6U</v>
          </cell>
          <cell r="D24">
            <v>3504</v>
          </cell>
        </row>
        <row r="25">
          <cell r="B25">
            <v>5948</v>
          </cell>
          <cell r="C25" t="str">
            <v>TAMPICO CERO BOT X250ML X6U</v>
          </cell>
          <cell r="D25">
            <v>6126</v>
          </cell>
        </row>
        <row r="26">
          <cell r="B26">
            <v>5951</v>
          </cell>
          <cell r="C26" t="str">
            <v>TAMPICO CITRUS TETRABASE X200ML</v>
          </cell>
          <cell r="D26">
            <v>857</v>
          </cell>
        </row>
        <row r="27">
          <cell r="B27">
            <v>5952</v>
          </cell>
          <cell r="C27" t="str">
            <v>TAMPICO CITRUS TETRABASE X200ML X3U</v>
          </cell>
          <cell r="D27">
            <v>2496</v>
          </cell>
        </row>
        <row r="28">
          <cell r="B28">
            <v>5953</v>
          </cell>
          <cell r="C28" t="str">
            <v>TAMPICO CITRUS TETRABASE X200ML X9U</v>
          </cell>
          <cell r="D28">
            <v>7403</v>
          </cell>
        </row>
        <row r="29">
          <cell r="B29">
            <v>5954</v>
          </cell>
          <cell r="C29" t="str">
            <v>TAMPICO CITRUS BTLL X250ML X6U</v>
          </cell>
          <cell r="D29">
            <v>6126</v>
          </cell>
        </row>
        <row r="30">
          <cell r="B30">
            <v>5959</v>
          </cell>
          <cell r="C30" t="str">
            <v>TAMPICO CITRUS PUNCH TETRA 1000 ML</v>
          </cell>
          <cell r="D30">
            <v>3311</v>
          </cell>
        </row>
        <row r="31">
          <cell r="B31">
            <v>5962</v>
          </cell>
          <cell r="C31" t="str">
            <v>TAMPICO TETRA 1L GRATIS TAMPICO PET 330</v>
          </cell>
          <cell r="D31">
            <v>3311</v>
          </cell>
        </row>
        <row r="32">
          <cell r="B32">
            <v>5963</v>
          </cell>
          <cell r="C32" t="str">
            <v>TAMPICO BLUEBERRY PET 330</v>
          </cell>
          <cell r="D32">
            <v>1303</v>
          </cell>
        </row>
        <row r="33">
          <cell r="B33">
            <v>5964</v>
          </cell>
          <cell r="C33" t="str">
            <v>TAMPICO TETRA SLIM 200 ML</v>
          </cell>
          <cell r="D33">
            <v>807</v>
          </cell>
        </row>
        <row r="34">
          <cell r="B34">
            <v>5965</v>
          </cell>
          <cell r="C34" t="str">
            <v>TAMPICO CITRUS TETRA SLIM200X6</v>
          </cell>
          <cell r="D34">
            <v>4706</v>
          </cell>
        </row>
        <row r="35">
          <cell r="B35">
            <v>5966</v>
          </cell>
          <cell r="C35" t="str">
            <v>TAMPICO CITRUS TETRA SLIM PAQUETE X12</v>
          </cell>
          <cell r="D35">
            <v>9269</v>
          </cell>
        </row>
        <row r="36">
          <cell r="B36">
            <v>5968</v>
          </cell>
          <cell r="C36" t="str">
            <v>TAMPICO CITRUS BOLSA 250ML 6X7 UN</v>
          </cell>
          <cell r="D36">
            <v>3504</v>
          </cell>
        </row>
        <row r="37">
          <cell r="B37">
            <v>5969</v>
          </cell>
          <cell r="C37" t="str">
            <v>TAMPICO CERO CITRUS PET 330ML</v>
          </cell>
          <cell r="D37">
            <v>1303</v>
          </cell>
        </row>
        <row r="38">
          <cell r="B38">
            <v>5970</v>
          </cell>
          <cell r="C38" t="str">
            <v>TAMPICO CERO CITRUS PET 330ML PAQUETEX6</v>
          </cell>
          <cell r="D38">
            <v>7588</v>
          </cell>
        </row>
        <row r="39">
          <cell r="B39">
            <v>5971</v>
          </cell>
          <cell r="C39" t="str">
            <v>TAMPICO CITRUS PET 330ML PAQUETE X 6</v>
          </cell>
          <cell r="D39">
            <v>7588</v>
          </cell>
        </row>
        <row r="40">
          <cell r="B40">
            <v>5982</v>
          </cell>
          <cell r="C40" t="str">
            <v>TAMPICO CITRUS PET X330ML X6U GTS VASO</v>
          </cell>
          <cell r="D40">
            <v>7630</v>
          </cell>
        </row>
        <row r="41">
          <cell r="B41">
            <v>5984</v>
          </cell>
          <cell r="C41" t="str">
            <v>TAMPICO CERO GFA 2LT GRATIS VASO</v>
          </cell>
          <cell r="D41">
            <v>5773</v>
          </cell>
        </row>
        <row r="42">
          <cell r="B42">
            <v>6000</v>
          </cell>
          <cell r="C42" t="str">
            <v>TAMPICO CITRUS X240ML X24U</v>
          </cell>
          <cell r="D42">
            <v>20529</v>
          </cell>
        </row>
        <row r="43">
          <cell r="B43">
            <v>6002</v>
          </cell>
          <cell r="C43" t="str">
            <v>TAMPICO CITRUS GFA X4L</v>
          </cell>
          <cell r="D43">
            <v>10941</v>
          </cell>
        </row>
        <row r="44">
          <cell r="B44">
            <v>6005</v>
          </cell>
          <cell r="C44" t="str">
            <v>TAMPICO CITRUS GFA X2L</v>
          </cell>
          <cell r="D44">
            <v>5773</v>
          </cell>
        </row>
        <row r="45">
          <cell r="B45">
            <v>6008</v>
          </cell>
          <cell r="C45" t="str">
            <v>TAMPICO CITRUS GFA X1 L</v>
          </cell>
          <cell r="D45">
            <v>3336</v>
          </cell>
        </row>
        <row r="46">
          <cell r="B46">
            <v>6013</v>
          </cell>
          <cell r="C46" t="str">
            <v>TAMPICO CITRUS BOL X200ML</v>
          </cell>
          <cell r="D46">
            <v>588</v>
          </cell>
        </row>
        <row r="47">
          <cell r="B47">
            <v>6015</v>
          </cell>
          <cell r="C47" t="str">
            <v>TAMPICO CITRUS BOL X250ML</v>
          </cell>
          <cell r="D47">
            <v>630</v>
          </cell>
        </row>
        <row r="48">
          <cell r="B48">
            <v>6017</v>
          </cell>
          <cell r="C48" t="str">
            <v>TAMPICO CITRUS BOL X250ML PARA PAQUETES</v>
          </cell>
          <cell r="D48">
            <v>630</v>
          </cell>
        </row>
        <row r="49">
          <cell r="B49">
            <v>6020</v>
          </cell>
          <cell r="C49" t="str">
            <v>TAMPICO CITRUS JUNIOR X150ML</v>
          </cell>
          <cell r="D49">
            <v>765</v>
          </cell>
        </row>
        <row r="50">
          <cell r="B50">
            <v>6021</v>
          </cell>
          <cell r="C50" t="str">
            <v>TAMPICO CITRUS JUNIOR X150ML X8U</v>
          </cell>
          <cell r="D50">
            <v>5681</v>
          </cell>
        </row>
        <row r="51">
          <cell r="B51">
            <v>6027</v>
          </cell>
          <cell r="C51" t="str">
            <v>TAMPICO CITRUS X250ML X6U</v>
          </cell>
          <cell r="D51">
            <v>3504</v>
          </cell>
        </row>
        <row r="52">
          <cell r="B52">
            <v>6030</v>
          </cell>
          <cell r="C52" t="str">
            <v>TAMPICO CITRUS VASO X260ML</v>
          </cell>
          <cell r="D52">
            <v>815</v>
          </cell>
        </row>
        <row r="53">
          <cell r="B53">
            <v>6031</v>
          </cell>
          <cell r="C53" t="str">
            <v>TAMPICO CITRUS BTLL X240ML</v>
          </cell>
          <cell r="D53">
            <v>924</v>
          </cell>
        </row>
        <row r="54">
          <cell r="B54">
            <v>6032</v>
          </cell>
          <cell r="C54" t="str">
            <v>TAMPICO CITRUS BTLL X240ML X6U</v>
          </cell>
          <cell r="D54">
            <v>5277</v>
          </cell>
        </row>
        <row r="55">
          <cell r="B55">
            <v>6061</v>
          </cell>
          <cell r="C55" t="str">
            <v>TAMPICO CITRUS BOL X125ML</v>
          </cell>
          <cell r="D55">
            <v>395</v>
          </cell>
        </row>
        <row r="56">
          <cell r="B56">
            <v>6069</v>
          </cell>
          <cell r="C56" t="str">
            <v>TAMPICO CITRUS PET X500ML</v>
          </cell>
          <cell r="D56">
            <v>1950</v>
          </cell>
        </row>
        <row r="57">
          <cell r="B57">
            <v>6099</v>
          </cell>
          <cell r="C57" t="str">
            <v>TAMPICO CITRUS PET X330ML</v>
          </cell>
          <cell r="D57">
            <v>1303</v>
          </cell>
        </row>
        <row r="58">
          <cell r="B58" t="str">
            <v>0282</v>
          </cell>
          <cell r="C58" t="str">
            <v>PROM 3DUOS CHORIZO GRATIS 3TAMPICOS125ML</v>
          </cell>
          <cell r="D58">
            <v>9522</v>
          </cell>
        </row>
        <row r="59">
          <cell r="B59">
            <v>1180</v>
          </cell>
          <cell r="C59" t="str">
            <v>MORTADELA SELECCIONAD COLANTA 225G 15TAJ</v>
          </cell>
          <cell r="D59">
            <v>4610</v>
          </cell>
        </row>
        <row r="60">
          <cell r="B60">
            <v>1181</v>
          </cell>
          <cell r="C60" t="str">
            <v>MORTADELA SELECCIONADA COLANTA 105G 7TAJ</v>
          </cell>
          <cell r="D60">
            <v>2200</v>
          </cell>
        </row>
        <row r="61">
          <cell r="B61">
            <v>1182</v>
          </cell>
          <cell r="C61" t="str">
            <v>MORTADELA SELECCIONAD COLANTA 450G 30TAJ</v>
          </cell>
          <cell r="D61">
            <v>8895</v>
          </cell>
        </row>
        <row r="62">
          <cell r="B62">
            <v>1183</v>
          </cell>
          <cell r="C62" t="str">
            <v>SALCHICHA TIPICA COLANTA X 225 G - 9 UDS</v>
          </cell>
          <cell r="D62">
            <v>4679</v>
          </cell>
        </row>
        <row r="63">
          <cell r="B63">
            <v>1184</v>
          </cell>
          <cell r="C63" t="str">
            <v>PQT ECONOMICO CARNICOS COLANTA X 900 G</v>
          </cell>
          <cell r="D63">
            <v>9924</v>
          </cell>
        </row>
        <row r="64">
          <cell r="B64">
            <v>1298</v>
          </cell>
          <cell r="C64" t="str">
            <v>COMBO SANDUCHE 500G (JAMON+QTIPOAMERICA)</v>
          </cell>
          <cell r="D64">
            <v>13355</v>
          </cell>
        </row>
        <row r="65">
          <cell r="C65" t="str">
            <v>FRIJOLES CON CHORIZO CAMP COLANTA X580G</v>
          </cell>
          <cell r="D65">
            <v>9203</v>
          </cell>
        </row>
        <row r="66">
          <cell r="B66">
            <v>7201</v>
          </cell>
          <cell r="C66" t="str">
            <v>CHORIZO COCTEL JALAPEÑO COLANTA X300G</v>
          </cell>
          <cell r="D66">
            <v>10376</v>
          </cell>
        </row>
        <row r="67">
          <cell r="B67">
            <v>7213</v>
          </cell>
          <cell r="C67" t="str">
            <v>CHORIZO CAMPESINO COLANTA X2,5KG X50U</v>
          </cell>
          <cell r="D67">
            <v>32396</v>
          </cell>
        </row>
        <row r="68">
          <cell r="B68">
            <v>7216</v>
          </cell>
          <cell r="C68" t="str">
            <v>CHORIZO TERNERA COLANTA DPACK X100G</v>
          </cell>
          <cell r="D68">
            <v>3306</v>
          </cell>
        </row>
        <row r="69">
          <cell r="B69">
            <v>7217</v>
          </cell>
          <cell r="C69" t="str">
            <v>CHORIZO CAMPESINO COLANTA X50G X2U</v>
          </cell>
          <cell r="D69">
            <v>2962</v>
          </cell>
        </row>
        <row r="70">
          <cell r="B70">
            <v>7225</v>
          </cell>
          <cell r="C70" t="str">
            <v>CHORIZO STARROSANO COLANTA X500G</v>
          </cell>
          <cell r="D70">
            <v>14616</v>
          </cell>
        </row>
        <row r="71">
          <cell r="B71">
            <v>7233</v>
          </cell>
          <cell r="C71" t="str">
            <v>CHORIZO STARROSANO COLANTA X250G</v>
          </cell>
          <cell r="D71">
            <v>7355</v>
          </cell>
        </row>
        <row r="72">
          <cell r="B72">
            <v>7234</v>
          </cell>
          <cell r="C72" t="str">
            <v>CHORIZO CAMPESINO COLANTA X250G</v>
          </cell>
          <cell r="D72">
            <v>6967</v>
          </cell>
        </row>
        <row r="73">
          <cell r="B73">
            <v>7236</v>
          </cell>
          <cell r="C73" t="str">
            <v>CHORIZO STARROSANO COLANTA X1250G X20U</v>
          </cell>
          <cell r="D73">
            <v>34049</v>
          </cell>
        </row>
        <row r="74">
          <cell r="B74">
            <v>7241</v>
          </cell>
          <cell r="C74" t="str">
            <v>CHORIZO STARROSANO DUOPACK COLANTA X100G</v>
          </cell>
          <cell r="D74">
            <v>3367</v>
          </cell>
        </row>
        <row r="75">
          <cell r="B75">
            <v>7242</v>
          </cell>
          <cell r="C75" t="str">
            <v>CHORIZO CERDO CHAMPIÑONES Y PIMENT X250G</v>
          </cell>
          <cell r="D75">
            <v>7036</v>
          </cell>
        </row>
        <row r="76">
          <cell r="B76">
            <v>7258</v>
          </cell>
          <cell r="C76" t="str">
            <v>PQTE CARNICOS PARA BROCHETA COLANTA 600G</v>
          </cell>
          <cell r="D76">
            <v>21048</v>
          </cell>
        </row>
        <row r="77">
          <cell r="B77">
            <v>7274</v>
          </cell>
          <cell r="C77" t="str">
            <v>BLACK PUDDING COLANTA X300G</v>
          </cell>
          <cell r="D77">
            <v>5232</v>
          </cell>
        </row>
        <row r="78">
          <cell r="B78">
            <v>7289</v>
          </cell>
          <cell r="C78" t="str">
            <v>RECORTE MORCILLA COLANTA AL VACIO X1KG</v>
          </cell>
          <cell r="D78">
            <v>9349</v>
          </cell>
        </row>
        <row r="79">
          <cell r="B79">
            <v>7291</v>
          </cell>
          <cell r="C79" t="str">
            <v>CHORIZO STARROSANO MONTEF ESTANDAR X250G</v>
          </cell>
          <cell r="D79">
            <v>5465</v>
          </cell>
        </row>
        <row r="80">
          <cell r="B80">
            <v>7292</v>
          </cell>
          <cell r="C80" t="str">
            <v>CHORIZO TERNERA MONT ECONOMICO X250G</v>
          </cell>
          <cell r="D80">
            <v>6008</v>
          </cell>
        </row>
        <row r="81">
          <cell r="B81">
            <v>7301</v>
          </cell>
          <cell r="C81" t="str">
            <v>SALCHICHA FRUVESA A GRANEL</v>
          </cell>
          <cell r="D81">
            <v>0</v>
          </cell>
        </row>
        <row r="82">
          <cell r="B82">
            <v>7307</v>
          </cell>
          <cell r="C82" t="str">
            <v>SALCHICHA COLANTA X450G</v>
          </cell>
          <cell r="D82">
            <v>8737</v>
          </cell>
        </row>
        <row r="83">
          <cell r="B83">
            <v>7316</v>
          </cell>
          <cell r="C83" t="str">
            <v>SALCHICHA COLANTA X225G</v>
          </cell>
          <cell r="D83">
            <v>4679</v>
          </cell>
        </row>
        <row r="84">
          <cell r="B84">
            <v>7320</v>
          </cell>
          <cell r="C84" t="str">
            <v>RECORTE DE SALCHICHA</v>
          </cell>
          <cell r="D84">
            <v>10705</v>
          </cell>
        </row>
        <row r="85">
          <cell r="B85">
            <v>7323</v>
          </cell>
          <cell r="C85" t="str">
            <v>SALCHICHA HOT DOG X 770 G – 10 UDS</v>
          </cell>
          <cell r="D85">
            <v>14780</v>
          </cell>
        </row>
        <row r="86">
          <cell r="B86">
            <v>7333</v>
          </cell>
          <cell r="C86" t="str">
            <v>SALCHICHA BERLINESA 400G</v>
          </cell>
          <cell r="D86">
            <v>13968</v>
          </cell>
        </row>
        <row r="87">
          <cell r="B87">
            <v>7334</v>
          </cell>
          <cell r="C87" t="str">
            <v>SALCHICHA XL COLANTA X 900G GRATIS 1 UND</v>
          </cell>
          <cell r="D87">
            <v>16127</v>
          </cell>
        </row>
        <row r="88">
          <cell r="B88">
            <v>7338</v>
          </cell>
          <cell r="C88" t="str">
            <v>SALCHICHA XL COLANTA X 900 G</v>
          </cell>
          <cell r="D88">
            <v>16714</v>
          </cell>
        </row>
        <row r="89">
          <cell r="B89">
            <v>7339</v>
          </cell>
          <cell r="C89" t="str">
            <v>SALCHICHA XL COLANTA X 360 G</v>
          </cell>
          <cell r="D89">
            <v>6251</v>
          </cell>
        </row>
        <row r="90">
          <cell r="B90">
            <v>7340</v>
          </cell>
          <cell r="C90" t="str">
            <v>SALCHICHA XL COLANTA X 1800 G</v>
          </cell>
          <cell r="D90">
            <v>33530</v>
          </cell>
        </row>
        <row r="91">
          <cell r="B91">
            <v>7341</v>
          </cell>
          <cell r="C91" t="str">
            <v>SALCHICHA  DUO PACK COLANTA X 90 G</v>
          </cell>
          <cell r="D91">
            <v>1856</v>
          </cell>
        </row>
        <row r="92">
          <cell r="B92">
            <v>7349</v>
          </cell>
          <cell r="C92" t="str">
            <v>SALCHICHA TIPO VIENA X170G</v>
          </cell>
          <cell r="D92">
            <v>3341</v>
          </cell>
        </row>
        <row r="93">
          <cell r="B93">
            <v>7350</v>
          </cell>
          <cell r="C93" t="str">
            <v>CHORIZO CON TERNERA COLANTA X 450G</v>
          </cell>
          <cell r="D93">
            <v>13649</v>
          </cell>
        </row>
        <row r="94">
          <cell r="B94">
            <v>7351</v>
          </cell>
          <cell r="C94" t="str">
            <v>CHORIZO TERNERA COLANTA 2813GX50U</v>
          </cell>
          <cell r="D94">
            <v>41516</v>
          </cell>
        </row>
        <row r="95">
          <cell r="B95">
            <v>7352</v>
          </cell>
          <cell r="C95" t="str">
            <v>CHORIZO TERNERA COLANTA 1125X20U</v>
          </cell>
          <cell r="D95">
            <v>33703</v>
          </cell>
        </row>
        <row r="96">
          <cell r="B96">
            <v>7353</v>
          </cell>
          <cell r="C96" t="str">
            <v>CHORIZO TERNERA COLANTA X225G</v>
          </cell>
          <cell r="D96">
            <v>7140</v>
          </cell>
        </row>
        <row r="97">
          <cell r="B97">
            <v>7354</v>
          </cell>
          <cell r="C97" t="str">
            <v>CHORIZO CAMPESINO COLANTA X450G</v>
          </cell>
          <cell r="D97">
            <v>12846</v>
          </cell>
        </row>
        <row r="98">
          <cell r="B98">
            <v>7355</v>
          </cell>
          <cell r="C98" t="str">
            <v>CHORIZO SANTARROSANO COLANTA X1125G X20U</v>
          </cell>
          <cell r="D98">
            <v>32892</v>
          </cell>
        </row>
        <row r="99">
          <cell r="B99">
            <v>7356</v>
          </cell>
          <cell r="C99" t="str">
            <v>JAMON SANDUCHE COLANTA TAJADO X902G</v>
          </cell>
          <cell r="D99">
            <v>26952</v>
          </cell>
        </row>
        <row r="100">
          <cell r="B100">
            <v>7358</v>
          </cell>
          <cell r="C100" t="str">
            <v>JAMON SANDUCHE COLANTA TAJADO X143G</v>
          </cell>
          <cell r="D100">
            <v>4334</v>
          </cell>
        </row>
        <row r="101">
          <cell r="B101">
            <v>7360</v>
          </cell>
          <cell r="C101" t="str">
            <v>MORCILLA COLANTA X  450 G</v>
          </cell>
          <cell r="D101">
            <v>7364</v>
          </cell>
        </row>
        <row r="102">
          <cell r="B102">
            <v>7361</v>
          </cell>
          <cell r="C102" t="str">
            <v>MORCILLA COLANTA X 225 G</v>
          </cell>
          <cell r="D102">
            <v>3884</v>
          </cell>
        </row>
        <row r="103">
          <cell r="B103">
            <v>7362</v>
          </cell>
          <cell r="C103" t="str">
            <v>MORCILLA COLANTA X 1.125 G</v>
          </cell>
          <cell r="D103">
            <v>17146</v>
          </cell>
        </row>
        <row r="104">
          <cell r="B104">
            <v>7287</v>
          </cell>
          <cell r="C104" t="str">
            <v>MORCILLA PARA BROCHETA COLANTA X 450 G</v>
          </cell>
          <cell r="D104">
            <v>8392</v>
          </cell>
        </row>
        <row r="105">
          <cell r="B105">
            <v>7366</v>
          </cell>
          <cell r="C105" t="str">
            <v>TOCINETA COLANTA X 135 G</v>
          </cell>
          <cell r="D105">
            <v>7494</v>
          </cell>
        </row>
        <row r="106">
          <cell r="B106">
            <v>7367</v>
          </cell>
          <cell r="C106" t="str">
            <v>TOCINETA ECONOMICA COLANTA X 1800 G</v>
          </cell>
          <cell r="D106">
            <v>73925</v>
          </cell>
        </row>
        <row r="107">
          <cell r="B107">
            <v>7368</v>
          </cell>
          <cell r="C107" t="str">
            <v>SALCHICHON MONTEFRIO ESTANDAR X 450 G</v>
          </cell>
          <cell r="D107">
            <v>5171</v>
          </cell>
        </row>
        <row r="108">
          <cell r="B108">
            <v>7369</v>
          </cell>
          <cell r="C108" t="str">
            <v>SALCHICHON MONTEFRIO ESTADAR X 225 G</v>
          </cell>
          <cell r="D108">
            <v>2571</v>
          </cell>
        </row>
        <row r="109">
          <cell r="B109">
            <v>7380</v>
          </cell>
          <cell r="C109" t="str">
            <v>RECORTE CHORIZO TERNERA X1KG</v>
          </cell>
          <cell r="D109">
            <v>12000</v>
          </cell>
        </row>
        <row r="110">
          <cell r="B110">
            <v>7381</v>
          </cell>
          <cell r="C110" t="str">
            <v>RECORTE CHORIZO CAMPESINO X1KG</v>
          </cell>
          <cell r="D110">
            <v>12000</v>
          </cell>
        </row>
        <row r="111">
          <cell r="B111">
            <v>7382</v>
          </cell>
          <cell r="C111" t="str">
            <v>RECORTE CHORIZO SANTARROSANO X1KG</v>
          </cell>
          <cell r="D111">
            <v>11776</v>
          </cell>
        </row>
        <row r="112">
          <cell r="B112">
            <v>7383</v>
          </cell>
          <cell r="C112" t="str">
            <v>RECORTE CHORIZO JALAPEÑO X1KG</v>
          </cell>
          <cell r="D112">
            <v>11776</v>
          </cell>
        </row>
        <row r="113">
          <cell r="B113">
            <v>7390</v>
          </cell>
          <cell r="C113" t="str">
            <v>RECORTE SALCHICHA WEST X1KG</v>
          </cell>
          <cell r="D113">
            <v>10705</v>
          </cell>
        </row>
        <row r="114">
          <cell r="B114">
            <v>7394</v>
          </cell>
          <cell r="C114" t="str">
            <v>CHORIZO SANTARROSANO TAJADO 225G</v>
          </cell>
          <cell r="D114">
            <v>7657</v>
          </cell>
        </row>
        <row r="115">
          <cell r="B115">
            <v>7405</v>
          </cell>
          <cell r="C115" t="str">
            <v>SALCHICHON CERVECERO COLANTA X1KG</v>
          </cell>
          <cell r="D115">
            <v>19629</v>
          </cell>
        </row>
        <row r="116">
          <cell r="B116">
            <v>7409</v>
          </cell>
          <cell r="C116" t="str">
            <v>SALCHICHON CERVECERO TAJADO X 200G</v>
          </cell>
          <cell r="D116">
            <v>4667</v>
          </cell>
        </row>
        <row r="117">
          <cell r="B117">
            <v>7410</v>
          </cell>
          <cell r="C117" t="str">
            <v>SALCHICHON CERVECERO COLANTA X500G</v>
          </cell>
          <cell r="D117">
            <v>9981</v>
          </cell>
        </row>
        <row r="118">
          <cell r="B118">
            <v>7413</v>
          </cell>
          <cell r="C118" t="str">
            <v>SNACK DE JAMÓN X 50 G</v>
          </cell>
          <cell r="D118">
            <v>2210</v>
          </cell>
        </row>
        <row r="119">
          <cell r="B119">
            <v>7414</v>
          </cell>
          <cell r="C119" t="str">
            <v>JAMON 450G GRTS SALSA CIRUELAS 100G</v>
          </cell>
          <cell r="D119">
            <v>13097</v>
          </cell>
        </row>
        <row r="120">
          <cell r="B120">
            <v>7415</v>
          </cell>
          <cell r="C120" t="str">
            <v>JAMON 225G GRTS SALSA CANTONESA 40G</v>
          </cell>
          <cell r="D120">
            <v>6776</v>
          </cell>
        </row>
        <row r="121">
          <cell r="B121">
            <v>7416</v>
          </cell>
          <cell r="C121" t="str">
            <v>SALCHICHON CERVECERO COLANTA TAJADO X50G</v>
          </cell>
          <cell r="D121">
            <v>1286</v>
          </cell>
        </row>
        <row r="122">
          <cell r="B122">
            <v>7417</v>
          </cell>
          <cell r="C122" t="str">
            <v>SALCHICHON CERVECERO TAJADO 50G X4</v>
          </cell>
          <cell r="D122">
            <v>4867</v>
          </cell>
        </row>
        <row r="123">
          <cell r="B123">
            <v>7418</v>
          </cell>
          <cell r="C123" t="str">
            <v>SNACK DE JAMÓN X 50 G X4</v>
          </cell>
          <cell r="D123">
            <v>7882</v>
          </cell>
        </row>
        <row r="124">
          <cell r="B124">
            <v>7419</v>
          </cell>
          <cell r="C124" t="str">
            <v>RECORTE DE SALCHICHON CERVECERO</v>
          </cell>
          <cell r="D124">
            <v>9095</v>
          </cell>
        </row>
        <row r="125">
          <cell r="B125">
            <v>7431</v>
          </cell>
          <cell r="C125" t="str">
            <v>SALCHICHON FINO COLANTA X900G</v>
          </cell>
          <cell r="D125">
            <v>11229</v>
          </cell>
        </row>
        <row r="126">
          <cell r="B126">
            <v>7432</v>
          </cell>
          <cell r="C126" t="str">
            <v>PQTE ECO900G 2SALCHICHON225+2MORTAD225G</v>
          </cell>
          <cell r="D126">
            <v>13543</v>
          </cell>
        </row>
        <row r="127">
          <cell r="B127">
            <v>7436</v>
          </cell>
          <cell r="C127" t="str">
            <v>SALCHICHON FINO COLANTA X 450G</v>
          </cell>
          <cell r="D127">
            <v>5990</v>
          </cell>
        </row>
        <row r="128">
          <cell r="B128">
            <v>7441</v>
          </cell>
          <cell r="C128" t="str">
            <v>SALCHICHON FINO COLANTA X 225G</v>
          </cell>
          <cell r="D128">
            <v>3095</v>
          </cell>
        </row>
        <row r="129">
          <cell r="B129">
            <v>7444</v>
          </cell>
          <cell r="C129" t="str">
            <v>SALCHICHON FINO COLANTA X125G</v>
          </cell>
          <cell r="D129">
            <v>1724</v>
          </cell>
        </row>
        <row r="130">
          <cell r="B130">
            <v>7477</v>
          </cell>
          <cell r="C130" t="str">
            <v>BUTIFARRA COLANTA X100G</v>
          </cell>
          <cell r="D130">
            <v>2314</v>
          </cell>
        </row>
        <row r="131">
          <cell r="B131">
            <v>7478</v>
          </cell>
          <cell r="C131" t="str">
            <v>BUTIFARRA COLANTA X 450 G</v>
          </cell>
          <cell r="D131">
            <v>9429</v>
          </cell>
        </row>
        <row r="132">
          <cell r="B132">
            <v>7485</v>
          </cell>
          <cell r="C132" t="str">
            <v>BUTIFARRA COLANTA X250G</v>
          </cell>
          <cell r="D132">
            <v>5362</v>
          </cell>
        </row>
        <row r="133">
          <cell r="B133">
            <v>7489</v>
          </cell>
          <cell r="C133" t="str">
            <v>RECORTE BUTIFARRA X1KG</v>
          </cell>
          <cell r="D133">
            <v>7771</v>
          </cell>
        </row>
        <row r="134">
          <cell r="B134">
            <v>7491</v>
          </cell>
          <cell r="C134" t="str">
            <v>RECORTE CABANO X1KG</v>
          </cell>
          <cell r="D134">
            <v>8503</v>
          </cell>
        </row>
        <row r="135">
          <cell r="B135">
            <v>7501</v>
          </cell>
          <cell r="C135" t="str">
            <v>JAMON COLANTA +/- 2,5K</v>
          </cell>
          <cell r="D135">
            <v>28645</v>
          </cell>
        </row>
        <row r="136">
          <cell r="B136">
            <v>7502</v>
          </cell>
          <cell r="C136" t="str">
            <v>JAMON COLANTA BLOQUE X2,5KG</v>
          </cell>
          <cell r="D136">
            <v>73157</v>
          </cell>
        </row>
        <row r="137">
          <cell r="B137">
            <v>7511</v>
          </cell>
          <cell r="C137" t="str">
            <v>JAMON SELECCIONADO COLANTA X450G</v>
          </cell>
          <cell r="D137">
            <v>13174</v>
          </cell>
        </row>
        <row r="138">
          <cell r="B138">
            <v>7524</v>
          </cell>
          <cell r="C138" t="str">
            <v>JAMON SELECCIONADO COLANTA X225G</v>
          </cell>
          <cell r="D138">
            <v>6820</v>
          </cell>
        </row>
        <row r="139">
          <cell r="B139">
            <v>7525</v>
          </cell>
          <cell r="C139" t="str">
            <v>JAMON SANDUCHE COLANTA TAJADO X250G</v>
          </cell>
          <cell r="D139">
            <v>6492</v>
          </cell>
        </row>
        <row r="140">
          <cell r="B140">
            <v>7607</v>
          </cell>
          <cell r="C140" t="str">
            <v>HAMBURGUESA PREASADA SELEC COLANTA X500G</v>
          </cell>
          <cell r="D140">
            <v>20141</v>
          </cell>
        </row>
        <row r="141">
          <cell r="B141">
            <v>7608</v>
          </cell>
          <cell r="C141" t="str">
            <v>HAMBURGUESA PRE ASADA COLANTA X400G</v>
          </cell>
          <cell r="D141">
            <v>12518</v>
          </cell>
        </row>
        <row r="142">
          <cell r="B142">
            <v>7613</v>
          </cell>
          <cell r="C142" t="str">
            <v>DUO TERNERA + DUO SANTARROSANO</v>
          </cell>
          <cell r="D142">
            <v>6700</v>
          </cell>
        </row>
        <row r="143">
          <cell r="B143">
            <v>7658</v>
          </cell>
          <cell r="C143" t="str">
            <v>HAMBURGUESA MONTEFRIO X 450 G</v>
          </cell>
          <cell r="D143">
            <v>13183</v>
          </cell>
        </row>
        <row r="144">
          <cell r="B144">
            <v>7676</v>
          </cell>
          <cell r="C144" t="str">
            <v>MORTADELA MONTEFRIO ECONOMICA X 225 G</v>
          </cell>
          <cell r="D144">
            <v>3152</v>
          </cell>
        </row>
        <row r="145">
          <cell r="B145">
            <v>7711</v>
          </cell>
          <cell r="C145" t="str">
            <v>TOCINETA COLANTA X 900 G</v>
          </cell>
          <cell r="D145">
            <v>39462</v>
          </cell>
        </row>
        <row r="146">
          <cell r="B146">
            <v>7716</v>
          </cell>
          <cell r="C146" t="str">
            <v>TOCINETA COLANTA X 450 G</v>
          </cell>
          <cell r="D146">
            <v>20443</v>
          </cell>
        </row>
        <row r="147">
          <cell r="B147">
            <v>7718</v>
          </cell>
          <cell r="C147" t="str">
            <v>TOCINETA COLANTA X 225 G</v>
          </cell>
          <cell r="D147">
            <v>10964</v>
          </cell>
        </row>
        <row r="148">
          <cell r="B148">
            <v>7739</v>
          </cell>
          <cell r="C148" t="str">
            <v>RECORTE DE TOCINETA AL VACIO</v>
          </cell>
          <cell r="D148">
            <v>0</v>
          </cell>
        </row>
        <row r="149">
          <cell r="B149" t="str">
            <v>0459</v>
          </cell>
          <cell r="C149" t="str">
            <v>YOGUR ENTERO FRESA BOLSA X 900G</v>
          </cell>
          <cell r="D149">
            <v>6693</v>
          </cell>
        </row>
        <row r="150">
          <cell r="B150" t="str">
            <v>0460</v>
          </cell>
          <cell r="C150" t="str">
            <v>YOGUR ENTERO MORA BOLSA X 900G</v>
          </cell>
          <cell r="D150">
            <v>6769</v>
          </cell>
        </row>
        <row r="151">
          <cell r="B151" t="str">
            <v>0461</v>
          </cell>
          <cell r="C151" t="str">
            <v>YOGUR ENTERO MELOCOTON X 900G</v>
          </cell>
          <cell r="D151">
            <v>6693</v>
          </cell>
        </row>
        <row r="152">
          <cell r="B152" t="str">
            <v>0462</v>
          </cell>
          <cell r="C152" t="str">
            <v>YAGUR FRESA BOLSA X 900G</v>
          </cell>
          <cell r="D152">
            <v>4563</v>
          </cell>
        </row>
        <row r="153">
          <cell r="B153" t="str">
            <v>0463</v>
          </cell>
          <cell r="C153" t="str">
            <v>YAGUR MORA BOLSA X 900G</v>
          </cell>
          <cell r="D153">
            <v>4563</v>
          </cell>
        </row>
        <row r="154">
          <cell r="B154" t="str">
            <v>0464</v>
          </cell>
          <cell r="C154" t="str">
            <v>YAGUR MELOCOTON BOLSA X 900G</v>
          </cell>
          <cell r="D154">
            <v>4563</v>
          </cell>
        </row>
        <row r="155">
          <cell r="B155" t="str">
            <v>0478</v>
          </cell>
          <cell r="C155" t="str">
            <v>YOGUR ENTERO SURTIDO BOLSA 900 G X 3 UDS</v>
          </cell>
          <cell r="D155">
            <v>20274</v>
          </cell>
        </row>
        <row r="156">
          <cell r="B156" t="str">
            <v>0479</v>
          </cell>
          <cell r="C156" t="str">
            <v>YAGUR SURTIDO BOLSA 900 G X 3 UDS</v>
          </cell>
          <cell r="D156">
            <v>13639</v>
          </cell>
        </row>
        <row r="157">
          <cell r="B157">
            <v>1153</v>
          </cell>
          <cell r="C157" t="str">
            <v>YOGUR PMO FRESA 2DA VASO X 200 G</v>
          </cell>
          <cell r="D157">
            <v>2132</v>
          </cell>
        </row>
        <row r="158">
          <cell r="B158">
            <v>1154</v>
          </cell>
          <cell r="C158" t="str">
            <v>YOGUR PMO MELOCOTON 2DA VASO X 200 G</v>
          </cell>
          <cell r="D158">
            <v>2132</v>
          </cell>
        </row>
        <row r="159">
          <cell r="B159">
            <v>1155</v>
          </cell>
          <cell r="C159" t="str">
            <v>YOGUR PMO MANGO 2DA VASO X 200 G</v>
          </cell>
          <cell r="D159">
            <v>2132</v>
          </cell>
        </row>
        <row r="160">
          <cell r="B160">
            <v>1156</v>
          </cell>
          <cell r="C160" t="str">
            <v>YOGUR PMO GUANABANA 2DA VASO X 200 G</v>
          </cell>
          <cell r="D160">
            <v>2132</v>
          </cell>
        </row>
        <row r="161">
          <cell r="B161">
            <v>1164</v>
          </cell>
          <cell r="C161" t="str">
            <v>YOGUR PMO MORA VASO 2DA X 200 G</v>
          </cell>
          <cell r="D161">
            <v>2132</v>
          </cell>
        </row>
        <row r="162">
          <cell r="B162">
            <v>1309</v>
          </cell>
          <cell r="C162" t="str">
            <v>ENSAYO YOGUR PMO FRESA-BANANO</v>
          </cell>
          <cell r="D162">
            <v>9723</v>
          </cell>
        </row>
        <row r="163">
          <cell r="B163">
            <v>1321</v>
          </cell>
          <cell r="C163" t="str">
            <v>YOGUR ENTERO GFA FRESA 960 ML</v>
          </cell>
          <cell r="D163">
            <v>10990</v>
          </cell>
        </row>
        <row r="164">
          <cell r="B164">
            <v>1322</v>
          </cell>
          <cell r="C164" t="str">
            <v>YOGUR ENTERO GFA MELOCOTON 960 ML</v>
          </cell>
          <cell r="D164">
            <v>10990</v>
          </cell>
        </row>
        <row r="165">
          <cell r="B165">
            <v>1323</v>
          </cell>
          <cell r="C165" t="str">
            <v>YOGUR ENTERO GFA MORA 960 ML</v>
          </cell>
          <cell r="D165">
            <v>11091</v>
          </cell>
        </row>
        <row r="166">
          <cell r="B166">
            <v>1324</v>
          </cell>
          <cell r="C166" t="str">
            <v>YOGUR ENTERO GFA GUANABANA 960 ML</v>
          </cell>
          <cell r="D166">
            <v>10990</v>
          </cell>
        </row>
        <row r="167">
          <cell r="B167">
            <v>1326</v>
          </cell>
          <cell r="C167" t="str">
            <v>YOGUR ENTERO BOLSA FRESA 850 ML</v>
          </cell>
          <cell r="D167">
            <v>6685</v>
          </cell>
        </row>
        <row r="168">
          <cell r="B168">
            <v>1327</v>
          </cell>
          <cell r="C168" t="str">
            <v>YOGUR ENTERO BOLSA MORA 850 ML</v>
          </cell>
          <cell r="D168">
            <v>6777</v>
          </cell>
        </row>
        <row r="169">
          <cell r="B169">
            <v>1328</v>
          </cell>
          <cell r="C169" t="str">
            <v>YOGUR ENTERO BOLSA MELOCOTON 850 ML</v>
          </cell>
          <cell r="D169">
            <v>6685</v>
          </cell>
        </row>
        <row r="170">
          <cell r="B170">
            <v>1330</v>
          </cell>
          <cell r="C170" t="str">
            <v>YOGUR ENTERO BOLSA MORA 190 ML</v>
          </cell>
          <cell r="D170">
            <v>1432</v>
          </cell>
        </row>
        <row r="171">
          <cell r="B171">
            <v>1333</v>
          </cell>
          <cell r="C171" t="str">
            <v>YOGUR SLIGHT GFA MELOCOTON 980 ML</v>
          </cell>
          <cell r="D171">
            <v>10739</v>
          </cell>
        </row>
        <row r="172">
          <cell r="B172">
            <v>1334</v>
          </cell>
          <cell r="C172" t="str">
            <v>YOGUR SLIGHT GFA MORA 980 ML</v>
          </cell>
          <cell r="D172">
            <v>10739</v>
          </cell>
        </row>
        <row r="173">
          <cell r="B173">
            <v>1335</v>
          </cell>
          <cell r="C173" t="str">
            <v>YOGUR SLIGHT GFA FRESA 980 ML</v>
          </cell>
          <cell r="D173">
            <v>10739</v>
          </cell>
        </row>
        <row r="174">
          <cell r="B174">
            <v>1336</v>
          </cell>
          <cell r="C174" t="str">
            <v>YOGUR SLIGHT VASO MELOCOTON 190 ML</v>
          </cell>
          <cell r="D174">
            <v>2252</v>
          </cell>
        </row>
        <row r="175">
          <cell r="B175">
            <v>1338</v>
          </cell>
          <cell r="C175" t="str">
            <v>YOGUR SLIGHT VASO FRESA 190 ML</v>
          </cell>
          <cell r="D175">
            <v>2252</v>
          </cell>
        </row>
        <row r="176">
          <cell r="B176">
            <v>1339</v>
          </cell>
          <cell r="C176" t="str">
            <v>PQTE YOGUR SLIGHT VASO SURTIDO 760 ML</v>
          </cell>
          <cell r="D176">
            <v>8597</v>
          </cell>
        </row>
        <row r="177">
          <cell r="B177">
            <v>1341</v>
          </cell>
          <cell r="C177" t="str">
            <v>YOGUR ENTERO MORA VASO 190 ML</v>
          </cell>
          <cell r="D177">
            <v>2247</v>
          </cell>
        </row>
        <row r="178">
          <cell r="B178">
            <v>1342</v>
          </cell>
          <cell r="C178" t="str">
            <v>YOGUR ENTERO MELOCOTON VASO 190 ML</v>
          </cell>
          <cell r="D178">
            <v>2221</v>
          </cell>
        </row>
        <row r="179">
          <cell r="B179">
            <v>1343</v>
          </cell>
          <cell r="C179" t="str">
            <v>YOGUR ENTERO AREQUIPE PASAS VASO 190 ML</v>
          </cell>
          <cell r="D179">
            <v>2221</v>
          </cell>
        </row>
        <row r="180">
          <cell r="B180">
            <v>1344</v>
          </cell>
          <cell r="C180" t="str">
            <v>YOGUR ENTERO GUANABANA VASO 190 ML</v>
          </cell>
          <cell r="D180">
            <v>2221</v>
          </cell>
        </row>
        <row r="181">
          <cell r="B181">
            <v>1345</v>
          </cell>
          <cell r="C181" t="str">
            <v>YOGUR ENTERO PIÑA COLADA VASO 190 ML</v>
          </cell>
          <cell r="D181">
            <v>2247</v>
          </cell>
        </row>
        <row r="182">
          <cell r="B182">
            <v>1347</v>
          </cell>
          <cell r="C182" t="str">
            <v>YOGUR ENTERO FRESA VASO X 145ML</v>
          </cell>
          <cell r="D182">
            <v>1696</v>
          </cell>
        </row>
        <row r="183">
          <cell r="B183">
            <v>1348</v>
          </cell>
          <cell r="C183" t="str">
            <v>YOGUR ENTERO MORA VASO X 145ML</v>
          </cell>
          <cell r="D183">
            <v>1712</v>
          </cell>
        </row>
        <row r="184">
          <cell r="B184">
            <v>1349</v>
          </cell>
          <cell r="C184" t="str">
            <v>YOGUR ENTERO MELOCOTON VASO X 145ML</v>
          </cell>
          <cell r="D184">
            <v>1696</v>
          </cell>
        </row>
        <row r="185">
          <cell r="B185">
            <v>1350</v>
          </cell>
          <cell r="C185" t="str">
            <v>YOGUR ENTERO AREQUIPE PASAS VASO 145 ML</v>
          </cell>
          <cell r="D185">
            <v>1696</v>
          </cell>
        </row>
        <row r="186">
          <cell r="B186">
            <v>1351</v>
          </cell>
          <cell r="C186" t="str">
            <v>YOGUR ENTERO GUANABANA VASO 145 ML</v>
          </cell>
          <cell r="D186">
            <v>1696</v>
          </cell>
        </row>
        <row r="187">
          <cell r="B187">
            <v>1354</v>
          </cell>
          <cell r="C187" t="str">
            <v>YOGUR ENTERO MORA GARRAFA 1650 ML</v>
          </cell>
          <cell r="D187">
            <v>17205</v>
          </cell>
        </row>
        <row r="188">
          <cell r="B188">
            <v>1356</v>
          </cell>
          <cell r="C188" t="str">
            <v>YOGUR ENTERO FRESA GARRAFA 3900 ML</v>
          </cell>
          <cell r="D188">
            <v>31674</v>
          </cell>
        </row>
        <row r="189">
          <cell r="B189">
            <v>1362</v>
          </cell>
          <cell r="C189" t="str">
            <v>PAQUETE YOGUR KID BOLSA 6 UDS X 190 ML</v>
          </cell>
          <cell r="D189">
            <v>5633</v>
          </cell>
        </row>
        <row r="190">
          <cell r="B190">
            <v>1367</v>
          </cell>
          <cell r="C190" t="str">
            <v>YOGUR SLIGHT FRESA BOLSA 960ML</v>
          </cell>
          <cell r="D190">
            <v>6874</v>
          </cell>
        </row>
        <row r="191">
          <cell r="B191">
            <v>1368</v>
          </cell>
          <cell r="C191" t="str">
            <v>YOGUR SLIGHT MELOCOTON BOLSA 960ML</v>
          </cell>
          <cell r="D191">
            <v>6874</v>
          </cell>
        </row>
        <row r="192">
          <cell r="B192">
            <v>1369</v>
          </cell>
          <cell r="C192" t="str">
            <v>YOGUR SLIGHT MORA BOLSA 960ML</v>
          </cell>
          <cell r="D192">
            <v>6874</v>
          </cell>
        </row>
        <row r="193">
          <cell r="B193">
            <v>1370</v>
          </cell>
          <cell r="C193" t="str">
            <v>PQTE. YOGUR SLIGHT BOLSA SURTIDO 190MLX6</v>
          </cell>
          <cell r="D193">
            <v>6899</v>
          </cell>
        </row>
        <row r="194">
          <cell r="B194">
            <v>1371</v>
          </cell>
          <cell r="C194" t="str">
            <v>YAGUR BOLSA 145ML X 7UND</v>
          </cell>
          <cell r="D194">
            <v>5689</v>
          </cell>
        </row>
        <row r="195">
          <cell r="B195">
            <v>1372</v>
          </cell>
          <cell r="C195" t="str">
            <v>YAGUR FRESA BOLSA 850ML</v>
          </cell>
          <cell r="D195">
            <v>4563</v>
          </cell>
        </row>
        <row r="196">
          <cell r="B196">
            <v>1373</v>
          </cell>
          <cell r="C196" t="str">
            <v>YAGUR MORA BOLSA 850ML</v>
          </cell>
          <cell r="D196">
            <v>4563</v>
          </cell>
        </row>
        <row r="197">
          <cell r="B197">
            <v>1374</v>
          </cell>
          <cell r="C197" t="str">
            <v>YAGUR MELOCOTON BOLSA 850ML</v>
          </cell>
          <cell r="D197">
            <v>4563</v>
          </cell>
        </row>
        <row r="198">
          <cell r="B198">
            <v>1376</v>
          </cell>
          <cell r="C198" t="str">
            <v>YAGUR FRESA BOLSA 145ML</v>
          </cell>
          <cell r="D198">
            <v>849</v>
          </cell>
        </row>
        <row r="199">
          <cell r="B199">
            <v>1380</v>
          </cell>
          <cell r="C199" t="str">
            <v>YAGUR 190ML PQTE  X 6 UND</v>
          </cell>
          <cell r="D199">
            <v>6294</v>
          </cell>
        </row>
        <row r="200">
          <cell r="B200">
            <v>1381</v>
          </cell>
          <cell r="C200" t="str">
            <v>YAGUR FRESA BOLSA 190ML</v>
          </cell>
          <cell r="D200">
            <v>1084</v>
          </cell>
        </row>
        <row r="201">
          <cell r="B201">
            <v>1382</v>
          </cell>
          <cell r="C201" t="str">
            <v>YAGUR MORA BOLSA 190ML</v>
          </cell>
          <cell r="D201">
            <v>1084</v>
          </cell>
        </row>
        <row r="202">
          <cell r="B202">
            <v>1383</v>
          </cell>
          <cell r="C202" t="str">
            <v>YAGUR MELOCOTON BOLSA 190ML</v>
          </cell>
          <cell r="D202">
            <v>1084</v>
          </cell>
        </row>
        <row r="203">
          <cell r="B203">
            <v>1384</v>
          </cell>
          <cell r="C203" t="str">
            <v>YAGUR FRESA VASO 145ML</v>
          </cell>
          <cell r="D203">
            <v>1017</v>
          </cell>
        </row>
        <row r="204">
          <cell r="B204">
            <v>1385</v>
          </cell>
          <cell r="C204" t="str">
            <v>YAGUR MORA VASO 145ML</v>
          </cell>
          <cell r="D204">
            <v>1017</v>
          </cell>
        </row>
        <row r="205">
          <cell r="B205">
            <v>1386</v>
          </cell>
          <cell r="C205" t="str">
            <v>YAGUR MELOCOTON VASO 145ML</v>
          </cell>
          <cell r="D205">
            <v>1017</v>
          </cell>
        </row>
        <row r="206">
          <cell r="B206">
            <v>1387</v>
          </cell>
          <cell r="C206" t="str">
            <v>PQTE. YAGUR SURTIDO VASO 145ML X 4 U</v>
          </cell>
          <cell r="D206">
            <v>3882</v>
          </cell>
        </row>
        <row r="207">
          <cell r="B207">
            <v>2561</v>
          </cell>
          <cell r="C207" t="str">
            <v>PAQ YAGUR AL BOLSA X 8 UND X150G TAT</v>
          </cell>
          <cell r="D207">
            <v>6513</v>
          </cell>
        </row>
        <row r="208">
          <cell r="B208">
            <v>2590</v>
          </cell>
          <cell r="C208" t="str">
            <v>YOGUR GRIEGO COLANTA NATURAL 450 GR</v>
          </cell>
          <cell r="D208">
            <v>10193</v>
          </cell>
        </row>
        <row r="209">
          <cell r="B209">
            <v>2591</v>
          </cell>
          <cell r="C209" t="str">
            <v>YOGUR GRIEGO COLANTA NATURAL 900GR</v>
          </cell>
          <cell r="D209">
            <v>15571</v>
          </cell>
        </row>
        <row r="210">
          <cell r="B210">
            <v>2592</v>
          </cell>
          <cell r="C210" t="str">
            <v>PAQUETE MIX YOGUR-YAGUR</v>
          </cell>
          <cell r="D210">
            <v>8305</v>
          </cell>
        </row>
        <row r="211">
          <cell r="B211">
            <v>2593</v>
          </cell>
          <cell r="C211" t="str">
            <v>PAQUETE PELICULA GRATIS LECHE UHT</v>
          </cell>
          <cell r="D211">
            <v>22418</v>
          </cell>
        </row>
        <row r="212">
          <cell r="B212">
            <v>4100</v>
          </cell>
          <cell r="C212" t="str">
            <v>YOGURKID SORPRESA FRESA COLANTA X143G</v>
          </cell>
          <cell r="D212">
            <v>2034</v>
          </cell>
        </row>
        <row r="213">
          <cell r="B213">
            <v>4101</v>
          </cell>
          <cell r="C213" t="str">
            <v>YOGURKID SORPRESA MORA COLANTA X143G</v>
          </cell>
          <cell r="D213">
            <v>2034</v>
          </cell>
        </row>
        <row r="214">
          <cell r="B214">
            <v>4103</v>
          </cell>
          <cell r="C214" t="str">
            <v>YOGURKID SORPRESA SURT COLANTA X6U</v>
          </cell>
          <cell r="D214">
            <v>11842</v>
          </cell>
        </row>
        <row r="215">
          <cell r="B215">
            <v>4116</v>
          </cell>
          <cell r="C215" t="str">
            <v>YOG FIBRAD DESL MELO COLANTA X200G</v>
          </cell>
          <cell r="D215">
            <v>1992</v>
          </cell>
        </row>
        <row r="216">
          <cell r="B216">
            <v>4117</v>
          </cell>
          <cell r="C216" t="str">
            <v>YOG FIBRAD DESL SURT COLANTA X200G X6U</v>
          </cell>
          <cell r="D216">
            <v>11328</v>
          </cell>
        </row>
        <row r="217">
          <cell r="B217">
            <v>4132</v>
          </cell>
          <cell r="C217" t="str">
            <v>YOGUR GRIEGO VLLA COLANTA X125G</v>
          </cell>
          <cell r="D217">
            <v>2151</v>
          </cell>
        </row>
        <row r="218">
          <cell r="B218">
            <v>4133</v>
          </cell>
          <cell r="C218" t="str">
            <v>YOGUR GRIEGO PIÑA COLANTA X125G</v>
          </cell>
          <cell r="D218">
            <v>2192</v>
          </cell>
        </row>
        <row r="219">
          <cell r="B219">
            <v>4134</v>
          </cell>
          <cell r="C219" t="str">
            <v>YOGUR GRIEGO LIMON COLANTA X125G</v>
          </cell>
          <cell r="D219">
            <v>2192</v>
          </cell>
        </row>
        <row r="220">
          <cell r="B220">
            <v>4135</v>
          </cell>
          <cell r="C220" t="str">
            <v>YOGUR GRIEGO FRESA COLANTA X125G</v>
          </cell>
          <cell r="D220">
            <v>2192</v>
          </cell>
        </row>
        <row r="221">
          <cell r="B221">
            <v>4152</v>
          </cell>
          <cell r="C221" t="str">
            <v>YOGUR GRIEGO COLANTA X125G X8U</v>
          </cell>
          <cell r="D221">
            <v>16552</v>
          </cell>
        </row>
        <row r="222">
          <cell r="B222">
            <v>4153</v>
          </cell>
          <cell r="C222" t="str">
            <v>YOGUR GRIEGO NATURAL+CERE ARANDA COLANTA</v>
          </cell>
          <cell r="D222">
            <v>2303</v>
          </cell>
        </row>
        <row r="223">
          <cell r="B223">
            <v>4162</v>
          </cell>
          <cell r="C223" t="str">
            <v>YOGUR FRESA COLANTA GFA X4000G</v>
          </cell>
          <cell r="D223">
            <v>31604</v>
          </cell>
        </row>
        <row r="224">
          <cell r="B224">
            <v>4176</v>
          </cell>
          <cell r="C224" t="str">
            <v>YOGUR VIDA MORA COLANTA BTLLA X100G</v>
          </cell>
          <cell r="D224">
            <v>1829</v>
          </cell>
        </row>
        <row r="225">
          <cell r="B225">
            <v>4177</v>
          </cell>
          <cell r="C225" t="str">
            <v>YOGUR VIDA FRESA COLANTA BTLLA X100G</v>
          </cell>
          <cell r="D225">
            <v>1829</v>
          </cell>
        </row>
        <row r="226">
          <cell r="B226">
            <v>4178</v>
          </cell>
          <cell r="C226" t="str">
            <v>YOGUR VIDA MELO COLANTA BTLLA X100G</v>
          </cell>
          <cell r="D226">
            <v>1829</v>
          </cell>
        </row>
        <row r="227">
          <cell r="B227">
            <v>4180</v>
          </cell>
          <cell r="C227" t="str">
            <v>YOGUR VIDA SURT COLANTA BTLLA X100G X6U</v>
          </cell>
          <cell r="D227">
            <v>10354</v>
          </cell>
        </row>
        <row r="228">
          <cell r="B228">
            <v>4181</v>
          </cell>
          <cell r="C228" t="str">
            <v>YOGUR DE BUFALA MARACUYA COLANTA X170G</v>
          </cell>
          <cell r="D228">
            <v>2907</v>
          </cell>
        </row>
        <row r="229">
          <cell r="B229">
            <v>4182</v>
          </cell>
          <cell r="C229" t="str">
            <v>YOGUR DE BUFALA MORA COLANTA X170G</v>
          </cell>
          <cell r="D229">
            <v>2907</v>
          </cell>
        </row>
        <row r="230">
          <cell r="B230">
            <v>4184</v>
          </cell>
          <cell r="C230" t="str">
            <v>YOGUR DE BUFALA FRESA COLANTA X170G</v>
          </cell>
          <cell r="D230">
            <v>2907</v>
          </cell>
        </row>
        <row r="231">
          <cell r="B231">
            <v>4185</v>
          </cell>
          <cell r="C231" t="str">
            <v>YOGUR DE BUFALA SURT COLANTA X170G X3U</v>
          </cell>
          <cell r="D231">
            <v>8267</v>
          </cell>
        </row>
        <row r="232">
          <cell r="B232">
            <v>4225</v>
          </cell>
          <cell r="C232" t="str">
            <v>YOGUR MELOCOT FIBRA+PREBIOTICO PAE 190ML</v>
          </cell>
          <cell r="D232">
            <v>0</v>
          </cell>
        </row>
        <row r="233">
          <cell r="B233">
            <v>4242</v>
          </cell>
          <cell r="C233" t="str">
            <v>YOGUR DE BUFALA FRESA SED X 170G</v>
          </cell>
          <cell r="D233">
            <v>2907</v>
          </cell>
        </row>
        <row r="234">
          <cell r="B234">
            <v>4243</v>
          </cell>
          <cell r="C234" t="str">
            <v>PROLINCO AL BOL FRESA 150G</v>
          </cell>
          <cell r="D234">
            <v>773</v>
          </cell>
        </row>
        <row r="235">
          <cell r="B235">
            <v>4244</v>
          </cell>
          <cell r="C235" t="str">
            <v>PROLINCO AL BOL MELOCO 150G</v>
          </cell>
          <cell r="D235">
            <v>773</v>
          </cell>
        </row>
        <row r="236">
          <cell r="B236">
            <v>4245</v>
          </cell>
          <cell r="C236" t="str">
            <v>PROLINCO AL BOL MORA 150G</v>
          </cell>
          <cell r="D236">
            <v>773</v>
          </cell>
        </row>
        <row r="237">
          <cell r="B237">
            <v>4246</v>
          </cell>
          <cell r="C237" t="str">
            <v>PQT PROLINCO AL BOL 150GX8</v>
          </cell>
          <cell r="D237">
            <v>5815</v>
          </cell>
        </row>
        <row r="238">
          <cell r="B238">
            <v>4269</v>
          </cell>
          <cell r="C238" t="str">
            <v>YOGUR KID BOLSA FRESA 1000 G</v>
          </cell>
          <cell r="D238">
            <v>5175</v>
          </cell>
        </row>
        <row r="239">
          <cell r="B239">
            <v>4270</v>
          </cell>
          <cell r="C239" t="str">
            <v>YOGUR KID BOLSA MELOCOTON 1000 G</v>
          </cell>
          <cell r="D239">
            <v>5175</v>
          </cell>
        </row>
        <row r="240">
          <cell r="B240">
            <v>4271</v>
          </cell>
          <cell r="C240" t="str">
            <v>YOGUR KID BOLSA MORA 1000 G</v>
          </cell>
          <cell r="D240">
            <v>5175</v>
          </cell>
        </row>
        <row r="241">
          <cell r="B241">
            <v>4302</v>
          </cell>
          <cell r="C241" t="str">
            <v>YOGUR SEMIDESC FRESA BOLSA X200ML SED</v>
          </cell>
          <cell r="D241">
            <v>844</v>
          </cell>
        </row>
        <row r="242">
          <cell r="B242">
            <v>4303</v>
          </cell>
          <cell r="C242" t="str">
            <v>YOGUR SLIGHT FRESA COLANTA GFAX1KG</v>
          </cell>
          <cell r="D242">
            <v>10739</v>
          </cell>
        </row>
        <row r="243">
          <cell r="B243">
            <v>4304</v>
          </cell>
          <cell r="C243" t="str">
            <v>YOGUR SLIGHT MELO COLANTA GFAX1KG</v>
          </cell>
          <cell r="D243">
            <v>10739</v>
          </cell>
        </row>
        <row r="244">
          <cell r="B244">
            <v>4305</v>
          </cell>
          <cell r="C244" t="str">
            <v>YOGUR SLIGHT MORA COLANTA GFAX1KG</v>
          </cell>
          <cell r="D244">
            <v>10739</v>
          </cell>
        </row>
        <row r="245">
          <cell r="B245">
            <v>4306</v>
          </cell>
          <cell r="C245" t="str">
            <v>YOGUR FRESA COLANTA GFA X1750G</v>
          </cell>
          <cell r="D245">
            <v>14340</v>
          </cell>
        </row>
        <row r="246">
          <cell r="B246">
            <v>4309</v>
          </cell>
          <cell r="C246" t="str">
            <v>YOGUR MELO COLANTA GFA X1750G</v>
          </cell>
          <cell r="D246">
            <v>14340</v>
          </cell>
        </row>
        <row r="247">
          <cell r="B247">
            <v>4310</v>
          </cell>
          <cell r="C247" t="str">
            <v>YOGUR MORA COLANTA GFA X1750G</v>
          </cell>
          <cell r="D247">
            <v>14870</v>
          </cell>
        </row>
        <row r="248">
          <cell r="B248">
            <v>4312</v>
          </cell>
          <cell r="C248" t="str">
            <v>YOGUR GUANABANA COLANTA GFA X1KG</v>
          </cell>
          <cell r="D248">
            <v>10981</v>
          </cell>
        </row>
        <row r="249">
          <cell r="B249">
            <v>4314</v>
          </cell>
          <cell r="C249" t="str">
            <v>YOGUR SLIGHT FRESA COLANTA VASO X200G</v>
          </cell>
          <cell r="D249">
            <v>2252</v>
          </cell>
        </row>
        <row r="250">
          <cell r="B250">
            <v>4315</v>
          </cell>
          <cell r="C250" t="str">
            <v>YOGUR SLIGHT MELO COLANTA VASO X200G</v>
          </cell>
          <cell r="D250">
            <v>2252</v>
          </cell>
        </row>
        <row r="251">
          <cell r="B251">
            <v>4316</v>
          </cell>
          <cell r="C251" t="str">
            <v>YOGUR SLIGHT MORA COLANTA VASO X200G</v>
          </cell>
          <cell r="D251">
            <v>2252</v>
          </cell>
        </row>
        <row r="252">
          <cell r="B252">
            <v>4317</v>
          </cell>
          <cell r="C252" t="str">
            <v>YOGUR SLIGHT SURT COLANTA VASO X200G X4U</v>
          </cell>
          <cell r="D252">
            <v>8597</v>
          </cell>
        </row>
        <row r="253">
          <cell r="B253">
            <v>4333</v>
          </cell>
          <cell r="C253" t="str">
            <v>YOGUR BENECOL FRESA COLANTA BTLL X100G</v>
          </cell>
          <cell r="D253">
            <v>1924</v>
          </cell>
        </row>
        <row r="254">
          <cell r="B254">
            <v>4372</v>
          </cell>
          <cell r="C254" t="str">
            <v>YOGUR SLIGHT SURT COLANTA VASO X200G X6U</v>
          </cell>
          <cell r="D254">
            <v>12748</v>
          </cell>
        </row>
        <row r="255">
          <cell r="B255">
            <v>4401</v>
          </cell>
          <cell r="C255" t="str">
            <v>YOGURKID CEREAL FRESA COLANTAX132G</v>
          </cell>
          <cell r="D255">
            <v>1694</v>
          </cell>
        </row>
        <row r="256">
          <cell r="B256">
            <v>4402</v>
          </cell>
          <cell r="C256" t="str">
            <v>YOGURKID CEREAL AZUC MORA COLANTA X132G</v>
          </cell>
          <cell r="D256">
            <v>1694</v>
          </cell>
        </row>
        <row r="257">
          <cell r="B257">
            <v>4403</v>
          </cell>
          <cell r="C257" t="str">
            <v>YOGURKID CEREAL AZUC MELO COLANTA X132G</v>
          </cell>
          <cell r="D257">
            <v>1694</v>
          </cell>
        </row>
        <row r="258">
          <cell r="B258">
            <v>4404</v>
          </cell>
          <cell r="C258" t="str">
            <v>YOGURKID CEREAL SURT COLANTA132G 3U</v>
          </cell>
          <cell r="D258">
            <v>4888</v>
          </cell>
        </row>
        <row r="259">
          <cell r="B259">
            <v>4405</v>
          </cell>
          <cell r="C259" t="str">
            <v>YOGURKID CEREAL SURT COLANTA132G 6U</v>
          </cell>
          <cell r="D259">
            <v>9733</v>
          </cell>
        </row>
        <row r="260">
          <cell r="B260">
            <v>4415</v>
          </cell>
          <cell r="C260" t="str">
            <v>YOGUR MELO COLANTA BOL X120G DEGUST</v>
          </cell>
          <cell r="D260">
            <v>457</v>
          </cell>
        </row>
        <row r="261">
          <cell r="B261">
            <v>4417</v>
          </cell>
          <cell r="C261" t="str">
            <v>YOGUR MORA COLANTA BOL X120G DEGUSTACION</v>
          </cell>
          <cell r="D261">
            <v>466</v>
          </cell>
        </row>
        <row r="262">
          <cell r="B262">
            <v>4430</v>
          </cell>
          <cell r="C262" t="str">
            <v>YOGUR FRESA COLANTA BOL X1L</v>
          </cell>
          <cell r="D262">
            <v>7053</v>
          </cell>
        </row>
        <row r="263">
          <cell r="B263">
            <v>4431</v>
          </cell>
          <cell r="C263" t="str">
            <v>YOGUR MELO COLANTA BOL X1L</v>
          </cell>
          <cell r="D263">
            <v>7053</v>
          </cell>
        </row>
        <row r="264">
          <cell r="B264">
            <v>4432</v>
          </cell>
          <cell r="C264" t="str">
            <v>YOGUR MORA COLANTA BOL X1L</v>
          </cell>
          <cell r="D264">
            <v>7053</v>
          </cell>
        </row>
        <row r="265">
          <cell r="B265">
            <v>4433</v>
          </cell>
          <cell r="C265" t="str">
            <v>YOGUR SLIGHT FRESA COLANTA BOL X1L</v>
          </cell>
          <cell r="D265">
            <v>6874</v>
          </cell>
        </row>
        <row r="266">
          <cell r="B266">
            <v>4434</v>
          </cell>
          <cell r="C266" t="str">
            <v>YOGUR SLIGHT MELO COLANTA BOL X1L</v>
          </cell>
          <cell r="D266">
            <v>6874</v>
          </cell>
        </row>
        <row r="267">
          <cell r="B267">
            <v>4435</v>
          </cell>
          <cell r="C267" t="str">
            <v>YOGUR SLIGHT MORA COLANTA BOL X1L</v>
          </cell>
          <cell r="D267">
            <v>6874</v>
          </cell>
        </row>
        <row r="268">
          <cell r="B268">
            <v>4437</v>
          </cell>
          <cell r="C268" t="str">
            <v>YOGUR SLIGHT FRESA COLANTA BOL X200G</v>
          </cell>
          <cell r="D268">
            <v>1244</v>
          </cell>
        </row>
        <row r="269">
          <cell r="B269">
            <v>4438</v>
          </cell>
          <cell r="C269" t="str">
            <v>YOGUR SLIGHT MELO COLANTA BOL X200G</v>
          </cell>
          <cell r="D269">
            <v>1244</v>
          </cell>
        </row>
        <row r="270">
          <cell r="B270">
            <v>4439</v>
          </cell>
          <cell r="C270" t="str">
            <v>YOGUR SURT COLANTA BOL X1KG X3U</v>
          </cell>
          <cell r="D270">
            <v>20379</v>
          </cell>
        </row>
        <row r="271">
          <cell r="B271">
            <v>4440</v>
          </cell>
          <cell r="C271" t="str">
            <v>YOGURKID FRESA COLANTA BOL X200G</v>
          </cell>
          <cell r="D271">
            <v>1079</v>
          </cell>
        </row>
        <row r="272">
          <cell r="B272">
            <v>4441</v>
          </cell>
          <cell r="C272" t="str">
            <v>YOGURKID MELO COLANTA BOL X200G</v>
          </cell>
          <cell r="D272">
            <v>1079</v>
          </cell>
        </row>
        <row r="273">
          <cell r="B273">
            <v>4442</v>
          </cell>
          <cell r="C273" t="str">
            <v>YOGURKID MORA COLANTA BOL X200G</v>
          </cell>
          <cell r="D273">
            <v>1079</v>
          </cell>
        </row>
        <row r="274">
          <cell r="B274">
            <v>4443</v>
          </cell>
          <cell r="C274" t="str">
            <v>YOGURKID SURT COLANTA X200G X6U</v>
          </cell>
          <cell r="D274">
            <v>6044</v>
          </cell>
        </row>
        <row r="275">
          <cell r="B275">
            <v>4444</v>
          </cell>
          <cell r="C275" t="str">
            <v>YOGUR SLIGHT MORA COLANTA BOL X200G</v>
          </cell>
          <cell r="D275">
            <v>1244</v>
          </cell>
        </row>
        <row r="276">
          <cell r="B276">
            <v>4445</v>
          </cell>
          <cell r="C276" t="str">
            <v>YOGUR SLIGHT SURT COLANTA BOL X200G X6U</v>
          </cell>
          <cell r="D276">
            <v>6899</v>
          </cell>
        </row>
        <row r="277">
          <cell r="B277">
            <v>4450</v>
          </cell>
          <cell r="C277" t="str">
            <v>YOGUR FRESA COLANTA BOL X200G</v>
          </cell>
          <cell r="D277">
            <v>1415</v>
          </cell>
        </row>
        <row r="278">
          <cell r="B278">
            <v>4451</v>
          </cell>
          <cell r="C278" t="str">
            <v>YOGUR MELO COLANTA BOL X200G</v>
          </cell>
          <cell r="D278">
            <v>1415</v>
          </cell>
        </row>
        <row r="279">
          <cell r="B279">
            <v>4452</v>
          </cell>
          <cell r="C279" t="str">
            <v>YOGUR MORA COLANTA BOL X200G</v>
          </cell>
          <cell r="D279">
            <v>1432</v>
          </cell>
        </row>
        <row r="280">
          <cell r="B280">
            <v>4455</v>
          </cell>
          <cell r="C280" t="str">
            <v>YOGUR SURT COLANTA BOL X200G X10U</v>
          </cell>
          <cell r="D280">
            <v>10704</v>
          </cell>
        </row>
        <row r="281">
          <cell r="B281">
            <v>4459</v>
          </cell>
          <cell r="C281" t="str">
            <v>YOGUR SURT COLANTA BOL X200G X6U</v>
          </cell>
          <cell r="D281">
            <v>8211</v>
          </cell>
        </row>
        <row r="282">
          <cell r="B282">
            <v>4461</v>
          </cell>
          <cell r="C282" t="str">
            <v>YAGUR FRESA COLANTA BOL X1L</v>
          </cell>
          <cell r="D282">
            <v>4672</v>
          </cell>
        </row>
        <row r="283">
          <cell r="B283">
            <v>4462</v>
          </cell>
          <cell r="C283" t="str">
            <v>YAGUR MELO COLANTA BOL X1L</v>
          </cell>
          <cell r="D283">
            <v>4672</v>
          </cell>
        </row>
        <row r="284">
          <cell r="B284">
            <v>4464</v>
          </cell>
          <cell r="C284" t="str">
            <v>YAGUR FRESA COLANTA BOL X150G</v>
          </cell>
          <cell r="D284">
            <v>849</v>
          </cell>
        </row>
        <row r="285">
          <cell r="B285">
            <v>4467</v>
          </cell>
          <cell r="C285" t="str">
            <v>YAGUR MORA COLANTA BOL X150G</v>
          </cell>
          <cell r="D285">
            <v>849</v>
          </cell>
        </row>
        <row r="286">
          <cell r="B286">
            <v>4470</v>
          </cell>
          <cell r="C286" t="str">
            <v>YAGUR SURT COLANTA BOL X200G X6U</v>
          </cell>
          <cell r="D286">
            <v>6294</v>
          </cell>
        </row>
        <row r="287">
          <cell r="B287">
            <v>4471</v>
          </cell>
          <cell r="C287" t="str">
            <v>YAGUR FRESA COLANTA BOL X200G</v>
          </cell>
          <cell r="D287">
            <v>1084</v>
          </cell>
        </row>
        <row r="288">
          <cell r="B288">
            <v>4472</v>
          </cell>
          <cell r="C288" t="str">
            <v>YAGUR MELO COLANTA BOL X200G</v>
          </cell>
          <cell r="D288">
            <v>1084</v>
          </cell>
        </row>
        <row r="289">
          <cell r="B289">
            <v>4473</v>
          </cell>
          <cell r="C289" t="str">
            <v>YAGUR MORA COLANTA BOL X200G</v>
          </cell>
          <cell r="D289">
            <v>1084</v>
          </cell>
        </row>
        <row r="290">
          <cell r="B290">
            <v>4501</v>
          </cell>
          <cell r="C290" t="str">
            <v>YOGUR AREQUIPE PASAS COLANTA GFA X1L</v>
          </cell>
          <cell r="D290">
            <v>11028</v>
          </cell>
        </row>
        <row r="291">
          <cell r="B291">
            <v>4502</v>
          </cell>
          <cell r="C291" t="str">
            <v>YOGUR FRESA COLANTA GFA X1L</v>
          </cell>
          <cell r="D291">
            <v>11028</v>
          </cell>
        </row>
        <row r="292">
          <cell r="B292">
            <v>4504</v>
          </cell>
          <cell r="C292" t="str">
            <v>YOGUR MELO COLANTA GFA X1L</v>
          </cell>
          <cell r="D292">
            <v>11028</v>
          </cell>
        </row>
        <row r="293">
          <cell r="B293">
            <v>4505</v>
          </cell>
          <cell r="C293" t="str">
            <v>YOGUR MORA COLANTA GFA X1L</v>
          </cell>
          <cell r="D293">
            <v>11129</v>
          </cell>
        </row>
        <row r="294">
          <cell r="B294">
            <v>4531</v>
          </cell>
          <cell r="C294" t="str">
            <v>YOGUR AREQ PASAS COLANTA VASO X200G</v>
          </cell>
          <cell r="D294">
            <v>2222</v>
          </cell>
        </row>
        <row r="295">
          <cell r="B295">
            <v>4532</v>
          </cell>
          <cell r="C295" t="str">
            <v>YOGUR FRESA COLANTA VASO X200G</v>
          </cell>
          <cell r="D295">
            <v>2221</v>
          </cell>
        </row>
        <row r="296">
          <cell r="B296">
            <v>4533</v>
          </cell>
          <cell r="C296" t="str">
            <v>YOGUR GUANABANA COLANTA VASO X200G</v>
          </cell>
          <cell r="D296">
            <v>2221</v>
          </cell>
        </row>
        <row r="297">
          <cell r="B297">
            <v>4534</v>
          </cell>
          <cell r="C297" t="str">
            <v>YOGUR MELO COLANTA VASO X200G</v>
          </cell>
          <cell r="D297">
            <v>2221</v>
          </cell>
        </row>
        <row r="298">
          <cell r="B298">
            <v>4535</v>
          </cell>
          <cell r="C298" t="str">
            <v>YOGUR MORA COLANTA VASO X200G</v>
          </cell>
          <cell r="D298">
            <v>2247</v>
          </cell>
        </row>
        <row r="299">
          <cell r="B299">
            <v>4536</v>
          </cell>
          <cell r="C299" t="str">
            <v>YOGUR PIÑA COLADA COLANTA VASO X200G</v>
          </cell>
          <cell r="D299">
            <v>2247</v>
          </cell>
        </row>
        <row r="300">
          <cell r="B300">
            <v>4538</v>
          </cell>
          <cell r="C300" t="str">
            <v>YOGUR FRUTAS ROJAS COLANTA VASO X200G</v>
          </cell>
          <cell r="D300">
            <v>2221</v>
          </cell>
        </row>
        <row r="301">
          <cell r="B301">
            <v>4545</v>
          </cell>
          <cell r="C301" t="str">
            <v>YOGUR SURT COLANTA VASO X200G X6U</v>
          </cell>
          <cell r="D301">
            <v>12698</v>
          </cell>
        </row>
        <row r="302">
          <cell r="B302">
            <v>4546</v>
          </cell>
          <cell r="C302" t="str">
            <v>YOGUR AREQUIPE PASAS COLANTA VASO X150G</v>
          </cell>
          <cell r="D302">
            <v>1695</v>
          </cell>
        </row>
        <row r="303">
          <cell r="B303">
            <v>4547</v>
          </cell>
          <cell r="C303" t="str">
            <v>YOGUR FRESA COLANTA VASO X150G</v>
          </cell>
          <cell r="D303">
            <v>1695</v>
          </cell>
        </row>
        <row r="304">
          <cell r="B304">
            <v>4548</v>
          </cell>
          <cell r="C304" t="str">
            <v>YOGUR GUANABANA COLANTA VASO X150G</v>
          </cell>
          <cell r="D304">
            <v>1695</v>
          </cell>
        </row>
        <row r="305">
          <cell r="B305">
            <v>4549</v>
          </cell>
          <cell r="C305" t="str">
            <v>YOGUR MELO COLANTA VASO X150G</v>
          </cell>
          <cell r="D305">
            <v>1695</v>
          </cell>
        </row>
        <row r="306">
          <cell r="B306">
            <v>4550</v>
          </cell>
          <cell r="C306" t="str">
            <v>YOGUR MORA COLANTA VASO X150G</v>
          </cell>
          <cell r="D306">
            <v>1712</v>
          </cell>
        </row>
        <row r="307">
          <cell r="B307">
            <v>4551</v>
          </cell>
          <cell r="C307" t="str">
            <v>YOGUR PIÑA COLADA COLANTA VASO X150G</v>
          </cell>
          <cell r="D307">
            <v>1695</v>
          </cell>
        </row>
        <row r="308">
          <cell r="B308">
            <v>4556</v>
          </cell>
          <cell r="C308" t="str">
            <v>YOGUR SURT COLANTA VASO X150G X6U</v>
          </cell>
          <cell r="D308">
            <v>9517</v>
          </cell>
        </row>
        <row r="309">
          <cell r="B309">
            <v>4564</v>
          </cell>
          <cell r="C309" t="str">
            <v>YOGURKID MORA COLANTA VASO X150G</v>
          </cell>
          <cell r="D309">
            <v>1101</v>
          </cell>
        </row>
        <row r="310">
          <cell r="B310">
            <v>4573</v>
          </cell>
          <cell r="C310" t="str">
            <v>YAGUR FRESA COLANTA VASO X150G</v>
          </cell>
          <cell r="D310">
            <v>1017</v>
          </cell>
        </row>
        <row r="311">
          <cell r="B311">
            <v>4574</v>
          </cell>
          <cell r="C311" t="str">
            <v>YAGUR MELO COLANTA VASO X150G</v>
          </cell>
          <cell r="D311">
            <v>1017</v>
          </cell>
        </row>
        <row r="312">
          <cell r="B312">
            <v>4575</v>
          </cell>
          <cell r="C312" t="str">
            <v>YAGUR MORA COLANTA VASO X150G</v>
          </cell>
          <cell r="D312">
            <v>1017</v>
          </cell>
        </row>
        <row r="313">
          <cell r="B313">
            <v>4576</v>
          </cell>
          <cell r="C313" t="str">
            <v>YAGUR SURT COLANTA VASO X150G X4U</v>
          </cell>
          <cell r="D313">
            <v>3882</v>
          </cell>
        </row>
        <row r="314">
          <cell r="B314">
            <v>4578</v>
          </cell>
          <cell r="C314" t="str">
            <v>YOGUR SURT COLANTA VASO X150G X4U</v>
          </cell>
          <cell r="D314">
            <v>6488</v>
          </cell>
        </row>
        <row r="315">
          <cell r="B315">
            <v>4579</v>
          </cell>
          <cell r="C315" t="str">
            <v>YOGUR SLIGHT SURT COLANTA VASO X150G X4U</v>
          </cell>
          <cell r="D315">
            <v>6513</v>
          </cell>
        </row>
        <row r="316">
          <cell r="B316">
            <v>4601</v>
          </cell>
          <cell r="C316" t="str">
            <v>YOGUR SEMIDESC MORA BOLSA X200ML SED</v>
          </cell>
          <cell r="D316">
            <v>844</v>
          </cell>
        </row>
        <row r="317">
          <cell r="B317">
            <v>4602</v>
          </cell>
          <cell r="C317" t="str">
            <v>YOGUR SEMIDESC MELO BOLSA X200ML SED</v>
          </cell>
          <cell r="D317">
            <v>844</v>
          </cell>
        </row>
        <row r="318">
          <cell r="B318">
            <v>4609</v>
          </cell>
          <cell r="C318" t="str">
            <v>YAGUR SURT COLANTA BOLSA X150G X10U</v>
          </cell>
          <cell r="D318">
            <v>7866</v>
          </cell>
        </row>
        <row r="319">
          <cell r="C319" t="str">
            <v>YOGUR GRIEGO FIBRA FRESA COLANTA X100G</v>
          </cell>
          <cell r="D319">
            <v>1181</v>
          </cell>
        </row>
        <row r="320">
          <cell r="B320">
            <v>4611</v>
          </cell>
          <cell r="C320" t="str">
            <v>YOGUR GRIEGO FIBRA PIÑA COLANTA X100G</v>
          </cell>
          <cell r="D320">
            <v>1753</v>
          </cell>
        </row>
        <row r="321">
          <cell r="B321">
            <v>4612</v>
          </cell>
          <cell r="C321" t="str">
            <v>YOG GRIEGO CEREAL ARANDANOS COLANTA 120G</v>
          </cell>
          <cell r="D321">
            <v>2126</v>
          </cell>
        </row>
        <row r="322">
          <cell r="B322">
            <v>4619</v>
          </cell>
          <cell r="C322" t="str">
            <v>YOGUR MARACUYA VASO X200G</v>
          </cell>
          <cell r="D322">
            <v>2221</v>
          </cell>
        </row>
        <row r="323">
          <cell r="B323">
            <v>4621</v>
          </cell>
          <cell r="C323" t="str">
            <v>KUMIS COLANTA GFA X4L</v>
          </cell>
          <cell r="D323">
            <v>29394</v>
          </cell>
        </row>
        <row r="324">
          <cell r="B324">
            <v>4625</v>
          </cell>
          <cell r="C324" t="str">
            <v>KUMIS COLANTA GFA X1L</v>
          </cell>
          <cell r="D324">
            <v>10204</v>
          </cell>
        </row>
        <row r="325">
          <cell r="B325">
            <v>4631</v>
          </cell>
          <cell r="C325" t="str">
            <v>KUMIS COLANTA VASO X200G</v>
          </cell>
          <cell r="D325">
            <v>2315</v>
          </cell>
        </row>
        <row r="326">
          <cell r="B326">
            <v>4636</v>
          </cell>
          <cell r="C326" t="str">
            <v>KUMIS COLANTA BOL X200G</v>
          </cell>
          <cell r="D326">
            <v>1382</v>
          </cell>
        </row>
        <row r="327">
          <cell r="B327">
            <v>4637</v>
          </cell>
          <cell r="C327" t="str">
            <v>KUMIS COLANTA BOL X1L</v>
          </cell>
          <cell r="D327">
            <v>6657</v>
          </cell>
        </row>
        <row r="328">
          <cell r="B328">
            <v>4638</v>
          </cell>
          <cell r="C328" t="str">
            <v>KUMIS COLANTA BOL X200G X6U</v>
          </cell>
          <cell r="D328">
            <v>8054</v>
          </cell>
        </row>
        <row r="329">
          <cell r="B329">
            <v>4640</v>
          </cell>
          <cell r="C329" t="str">
            <v>KUMIS FIBRA PAE</v>
          </cell>
          <cell r="D329">
            <v>0</v>
          </cell>
        </row>
        <row r="330">
          <cell r="B330">
            <v>4644</v>
          </cell>
          <cell r="C330" t="str">
            <v>KUMIS COLANTA VASO X150G</v>
          </cell>
          <cell r="D330">
            <v>1681</v>
          </cell>
        </row>
        <row r="331">
          <cell r="B331">
            <v>4645</v>
          </cell>
          <cell r="C331" t="str">
            <v>KUMIS COLANTA VASO X150G X4U</v>
          </cell>
          <cell r="D331">
            <v>6346</v>
          </cell>
        </row>
        <row r="332">
          <cell r="B332">
            <v>4653</v>
          </cell>
          <cell r="C332" t="str">
            <v>YOGUR BENECOL BOTELLA COLANTA X100G 4U</v>
          </cell>
          <cell r="D332">
            <v>8269</v>
          </cell>
        </row>
        <row r="333">
          <cell r="B333">
            <v>4658</v>
          </cell>
          <cell r="C333" t="str">
            <v>PAQUETE SURT FRES-AVENA-YAGUR</v>
          </cell>
          <cell r="D333">
            <v>10886</v>
          </cell>
        </row>
        <row r="334">
          <cell r="B334">
            <v>4679</v>
          </cell>
          <cell r="C334" t="str">
            <v>YOGUR BENECOL DESLAC F VDE COLANTA X1L</v>
          </cell>
          <cell r="D334">
            <v>16647</v>
          </cell>
        </row>
        <row r="335">
          <cell r="B335">
            <v>4680</v>
          </cell>
          <cell r="C335" t="str">
            <v>YOGUR BENECOL DESLAC FRESA COLANTA X1L</v>
          </cell>
          <cell r="D335">
            <v>16647</v>
          </cell>
        </row>
        <row r="336">
          <cell r="B336">
            <v>4681</v>
          </cell>
          <cell r="C336" t="str">
            <v>YOGUR BENECOL DESLAC F ROJ COLANTA X1L</v>
          </cell>
          <cell r="D336">
            <v>16647</v>
          </cell>
        </row>
        <row r="337">
          <cell r="B337">
            <v>4682</v>
          </cell>
          <cell r="C337" t="str">
            <v>YOGUR BENECOL DESLAC MELO COLANTA X1L</v>
          </cell>
          <cell r="D337">
            <v>16647</v>
          </cell>
        </row>
        <row r="338">
          <cell r="B338">
            <v>4683</v>
          </cell>
          <cell r="C338" t="str">
            <v>YOGUR BENECOL DESLAC F VDE COLANTA X100G</v>
          </cell>
          <cell r="D338">
            <v>2118</v>
          </cell>
        </row>
        <row r="339">
          <cell r="B339">
            <v>4684</v>
          </cell>
          <cell r="C339" t="str">
            <v>YOGUR BENECOL DESLAC FRESA COLANTA X100G</v>
          </cell>
          <cell r="D339">
            <v>2118</v>
          </cell>
        </row>
        <row r="340">
          <cell r="B340">
            <v>4685</v>
          </cell>
          <cell r="C340" t="str">
            <v>YOGUR BENECOL DESLAC F ROJ COLANTA X100G</v>
          </cell>
          <cell r="D340">
            <v>2118</v>
          </cell>
        </row>
        <row r="341">
          <cell r="B341">
            <v>4686</v>
          </cell>
          <cell r="C341" t="str">
            <v>YOGUR BENECOL DESLAC MELO COLANTA X100G</v>
          </cell>
          <cell r="D341">
            <v>2118</v>
          </cell>
        </row>
        <row r="342">
          <cell r="B342">
            <v>4687</v>
          </cell>
          <cell r="C342" t="str">
            <v>YOGUR BENECOL DESL SURT COLANTA X100G 8U</v>
          </cell>
          <cell r="D342">
            <v>15958</v>
          </cell>
        </row>
        <row r="343">
          <cell r="B343">
            <v>4713</v>
          </cell>
          <cell r="C343" t="str">
            <v>YAGUR AL FRESA BOLSA 900G</v>
          </cell>
          <cell r="D343">
            <v>4563</v>
          </cell>
        </row>
        <row r="344">
          <cell r="B344">
            <v>4714</v>
          </cell>
          <cell r="C344" t="str">
            <v>YAGUR AL MORA BOLSA 900G</v>
          </cell>
          <cell r="D344">
            <v>4563</v>
          </cell>
        </row>
        <row r="345">
          <cell r="B345">
            <v>4715</v>
          </cell>
          <cell r="C345" t="str">
            <v>YAGUR AL MELOCOT BOLSA 900G</v>
          </cell>
          <cell r="D345">
            <v>4563</v>
          </cell>
        </row>
        <row r="346">
          <cell r="B346">
            <v>4716</v>
          </cell>
          <cell r="C346" t="str">
            <v>YAGUR AL FRESA BOLSA 150G</v>
          </cell>
          <cell r="D346">
            <v>849</v>
          </cell>
        </row>
        <row r="347">
          <cell r="B347">
            <v>4717</v>
          </cell>
          <cell r="C347" t="str">
            <v>YAGUR AL MORA BOLSA 150G</v>
          </cell>
          <cell r="D347">
            <v>849</v>
          </cell>
        </row>
        <row r="348">
          <cell r="B348">
            <v>4724</v>
          </cell>
          <cell r="C348" t="str">
            <v>SUPERBOOM ARROZ  ACHOCOLATADO 169G</v>
          </cell>
          <cell r="D348">
            <v>2588</v>
          </cell>
        </row>
        <row r="349">
          <cell r="B349">
            <v>4730</v>
          </cell>
          <cell r="C349" t="str">
            <v>SUPERBOOM GRANOLA 180G</v>
          </cell>
          <cell r="D349">
            <v>2665</v>
          </cell>
        </row>
        <row r="350">
          <cell r="B350">
            <v>4732</v>
          </cell>
          <cell r="C350" t="str">
            <v>SUPERBOOM HOJUELAS AZUCARADAS 170G</v>
          </cell>
          <cell r="D350">
            <v>2588</v>
          </cell>
        </row>
        <row r="351">
          <cell r="B351">
            <v>4737</v>
          </cell>
          <cell r="C351" t="str">
            <v>PAQ SUPERBOOM HOJUELAS AZUCARADAS 170GX3</v>
          </cell>
          <cell r="D351">
            <v>7370</v>
          </cell>
        </row>
        <row r="352">
          <cell r="B352">
            <v>4738</v>
          </cell>
          <cell r="C352" t="str">
            <v>PAQ SUPERBOOM SURTIDO 170GX4</v>
          </cell>
          <cell r="D352">
            <v>9916</v>
          </cell>
        </row>
        <row r="353">
          <cell r="B353">
            <v>4743</v>
          </cell>
          <cell r="C353" t="str">
            <v>PAQ YOGUR CON CEREAL HOJ AZUC X170G X3U</v>
          </cell>
          <cell r="D353">
            <v>7370</v>
          </cell>
        </row>
        <row r="354">
          <cell r="B354">
            <v>4758</v>
          </cell>
          <cell r="C354" t="str">
            <v>YAGUR AL MELOCOT BOLSA150G</v>
          </cell>
          <cell r="D354">
            <v>849</v>
          </cell>
        </row>
        <row r="355">
          <cell r="B355">
            <v>4759</v>
          </cell>
          <cell r="C355" t="str">
            <v>YAGUR AL FRESA BOLSA 200G</v>
          </cell>
          <cell r="D355">
            <v>1084</v>
          </cell>
        </row>
        <row r="356">
          <cell r="B356">
            <v>4760</v>
          </cell>
          <cell r="C356" t="str">
            <v>YAGUR AL MORA BOLSA 200G</v>
          </cell>
          <cell r="D356">
            <v>1084</v>
          </cell>
        </row>
        <row r="357">
          <cell r="B357">
            <v>4761</v>
          </cell>
          <cell r="C357" t="str">
            <v>YAGUR AL  MELOCOT BOLSA 200G</v>
          </cell>
          <cell r="D357">
            <v>1084</v>
          </cell>
        </row>
        <row r="358">
          <cell r="B358">
            <v>4762</v>
          </cell>
          <cell r="C358" t="str">
            <v>YAGUR AL FRESA VASO 150G</v>
          </cell>
          <cell r="D358">
            <v>1017</v>
          </cell>
        </row>
        <row r="359">
          <cell r="B359">
            <v>4763</v>
          </cell>
          <cell r="C359" t="str">
            <v>YAGUR AL MORA VASO 150G</v>
          </cell>
          <cell r="D359">
            <v>1017</v>
          </cell>
        </row>
        <row r="360">
          <cell r="B360">
            <v>4764</v>
          </cell>
          <cell r="C360" t="str">
            <v>YAGUR AL MELOCOT VASO 150G</v>
          </cell>
          <cell r="D360">
            <v>1017</v>
          </cell>
        </row>
        <row r="361">
          <cell r="B361">
            <v>4765</v>
          </cell>
          <cell r="C361" t="str">
            <v>PQ YAGUR AL SUR VASO 150GX4</v>
          </cell>
          <cell r="D361">
            <v>3992</v>
          </cell>
        </row>
        <row r="362">
          <cell r="B362">
            <v>4766</v>
          </cell>
          <cell r="C362" t="str">
            <v>PQ YAGUR AL BOLSA 900GX3U</v>
          </cell>
          <cell r="D362">
            <v>13639</v>
          </cell>
        </row>
        <row r="363">
          <cell r="B363">
            <v>4767</v>
          </cell>
          <cell r="C363" t="str">
            <v>PQ YAGUR AL BOLSA 150GX10U</v>
          </cell>
          <cell r="D363">
            <v>8101</v>
          </cell>
        </row>
        <row r="364">
          <cell r="B364">
            <v>4768</v>
          </cell>
          <cell r="C364" t="str">
            <v>PQ YAGUR AL BOLSA 200G X6U</v>
          </cell>
          <cell r="D364">
            <v>6294</v>
          </cell>
        </row>
        <row r="365">
          <cell r="B365">
            <v>4769</v>
          </cell>
          <cell r="C365" t="str">
            <v>PQ YAGUR AL BOLSA 150GX7UND</v>
          </cell>
          <cell r="D365">
            <v>5689</v>
          </cell>
        </row>
        <row r="366">
          <cell r="B366">
            <v>4772</v>
          </cell>
          <cell r="C366" t="str">
            <v>YAGUR AL X 200 PAGUE 6 LLEVE 8</v>
          </cell>
          <cell r="D366">
            <v>6294</v>
          </cell>
        </row>
        <row r="367">
          <cell r="B367">
            <v>4773</v>
          </cell>
          <cell r="C367" t="str">
            <v>PAQUETE TEMPORADA ESCOLAR SCRIBE-YOGUR</v>
          </cell>
          <cell r="D367">
            <v>13917</v>
          </cell>
        </row>
        <row r="368">
          <cell r="B368">
            <v>4777</v>
          </cell>
          <cell r="C368" t="str">
            <v>YOGUR SLIGHT CEREAL COLANTA X170G</v>
          </cell>
          <cell r="D368">
            <v>2555</v>
          </cell>
        </row>
        <row r="369">
          <cell r="B369">
            <v>4778</v>
          </cell>
          <cell r="C369" t="str">
            <v>YOGUR SLIGHT CEREAL COLANTA X170G X4U</v>
          </cell>
          <cell r="D369">
            <v>9664</v>
          </cell>
        </row>
        <row r="370">
          <cell r="B370">
            <v>4782</v>
          </cell>
          <cell r="C370" t="str">
            <v>SUPERBOOM3U + YOGUR VASO X200ML X3U</v>
          </cell>
          <cell r="D370">
            <v>13921</v>
          </cell>
        </row>
        <row r="371">
          <cell r="B371">
            <v>4783</v>
          </cell>
          <cell r="C371" t="str">
            <v>YOGUR CON CEREAL QUINOA COLANTA X170G</v>
          </cell>
          <cell r="D371">
            <v>2884</v>
          </cell>
        </row>
        <row r="372">
          <cell r="B372">
            <v>4784</v>
          </cell>
          <cell r="C372" t="str">
            <v>SUPER BOOM ED ES FESTI MINICHIPS *170GR</v>
          </cell>
          <cell r="D372">
            <v>2590</v>
          </cell>
        </row>
        <row r="373">
          <cell r="B373">
            <v>4787</v>
          </cell>
          <cell r="C373" t="str">
            <v>DISP SBOM ED ESP FEST MINCHIPS *510G(3U)</v>
          </cell>
          <cell r="D373">
            <v>7418</v>
          </cell>
        </row>
        <row r="374">
          <cell r="B374">
            <v>4793</v>
          </cell>
          <cell r="C374" t="str">
            <v>YAGUR FRESA AL BOLS MUESTRA GRATIS X120G</v>
          </cell>
          <cell r="D374">
            <v>387</v>
          </cell>
        </row>
        <row r="375">
          <cell r="B375">
            <v>4794</v>
          </cell>
          <cell r="C375" t="str">
            <v>YAGUR MORA AL BOLSA MUESTRA GRATIS X120G</v>
          </cell>
          <cell r="D375">
            <v>387</v>
          </cell>
        </row>
        <row r="376">
          <cell r="B376">
            <v>4795</v>
          </cell>
          <cell r="C376" t="str">
            <v>YAGUR MELOC AL BOLS MUESTRA GRATIS X120G</v>
          </cell>
          <cell r="D376">
            <v>387</v>
          </cell>
        </row>
        <row r="377">
          <cell r="B377">
            <v>4796</v>
          </cell>
          <cell r="C377" t="str">
            <v>YAGUR AL FRESA BOLSA 900GR CANJE SELLOS</v>
          </cell>
          <cell r="D377">
            <v>2630</v>
          </cell>
        </row>
        <row r="378">
          <cell r="B378">
            <v>4797</v>
          </cell>
          <cell r="C378" t="str">
            <v>YAGUR AL MORA BOLSA 900G CANJE SELLOS</v>
          </cell>
          <cell r="D378">
            <v>2630</v>
          </cell>
        </row>
        <row r="379">
          <cell r="B379">
            <v>4798</v>
          </cell>
          <cell r="C379" t="str">
            <v>YAGUR AL MELOC BOLSA 900 G CANJE SELLOS</v>
          </cell>
          <cell r="D379">
            <v>2630</v>
          </cell>
        </row>
        <row r="380">
          <cell r="B380" t="str">
            <v>0104</v>
          </cell>
          <cell r="C380" t="str">
            <v>L.PAST ENTERA COLANTA BOL X1000ML X3U</v>
          </cell>
          <cell r="D380">
            <v>10530</v>
          </cell>
        </row>
        <row r="381">
          <cell r="B381" t="str">
            <v>0105</v>
          </cell>
          <cell r="C381" t="str">
            <v>L.PAST ENTERA COLANTA BOL X1000ML</v>
          </cell>
          <cell r="D381">
            <v>3550</v>
          </cell>
        </row>
        <row r="382">
          <cell r="B382" t="str">
            <v>0108</v>
          </cell>
          <cell r="C382" t="str">
            <v>L.PAST ENTERA MONTEFRIO BOL X1000ML</v>
          </cell>
          <cell r="D382">
            <v>3370</v>
          </cell>
        </row>
        <row r="383">
          <cell r="B383" t="str">
            <v>0117</v>
          </cell>
          <cell r="C383" t="str">
            <v>L.PAST ENTERA COLANTA BOL X1L+100ML X3U</v>
          </cell>
          <cell r="D383">
            <v>10530</v>
          </cell>
        </row>
        <row r="384">
          <cell r="B384" t="str">
            <v>0141</v>
          </cell>
          <cell r="C384" t="str">
            <v>L.PAST ENTERA RICURA BOL X900ML</v>
          </cell>
          <cell r="D384">
            <v>3030</v>
          </cell>
        </row>
        <row r="385">
          <cell r="B385" t="str">
            <v>0146</v>
          </cell>
          <cell r="C385" t="str">
            <v>L.PAST DESLACT COLANTA BOL X1000ML</v>
          </cell>
          <cell r="D385">
            <v>3550</v>
          </cell>
        </row>
        <row r="386">
          <cell r="B386" t="str">
            <v>0148</v>
          </cell>
          <cell r="C386" t="str">
            <v>L.PAST ENTERA COLANTA BOL X1100ML</v>
          </cell>
          <cell r="D386">
            <v>3560</v>
          </cell>
        </row>
        <row r="387">
          <cell r="B387" t="str">
            <v>0149</v>
          </cell>
          <cell r="C387" t="str">
            <v>L.PAST DESLACT COLANTA BOL X1100ML</v>
          </cell>
          <cell r="D387">
            <v>3560</v>
          </cell>
        </row>
        <row r="388">
          <cell r="B388" t="str">
            <v>0155</v>
          </cell>
          <cell r="C388" t="str">
            <v>L.PAST SEMIDESC COLANTA BOL X1000ML</v>
          </cell>
          <cell r="D388">
            <v>3550</v>
          </cell>
        </row>
        <row r="389">
          <cell r="B389" t="str">
            <v>0158</v>
          </cell>
          <cell r="C389" t="str">
            <v>L.PAST SEMIDESC COLANTA BOL X1000ML X3U</v>
          </cell>
          <cell r="D389">
            <v>10530</v>
          </cell>
        </row>
        <row r="390">
          <cell r="B390" t="str">
            <v>0180</v>
          </cell>
          <cell r="C390" t="str">
            <v>L.PAST DESCR COLANTA BOL X1000ML</v>
          </cell>
          <cell r="D390">
            <v>3550</v>
          </cell>
        </row>
        <row r="391">
          <cell r="B391" t="str">
            <v>0197</v>
          </cell>
          <cell r="C391" t="str">
            <v>L.PAST ENTERA COLANTA BOL X1000ML SELLOS</v>
          </cell>
          <cell r="D391">
            <v>2600</v>
          </cell>
        </row>
        <row r="392">
          <cell r="B392" t="str">
            <v>0205</v>
          </cell>
          <cell r="C392" t="str">
            <v>LECHE CONCETRADA COLANTA %ST SEMIENTERA</v>
          </cell>
          <cell r="D392">
            <v>8000</v>
          </cell>
        </row>
        <row r="393">
          <cell r="B393" t="str">
            <v>0208</v>
          </cell>
          <cell r="C393" t="str">
            <v>LUHT ENTERA BOLSA 6U GTS AVENA NATURAL1U</v>
          </cell>
          <cell r="D393">
            <v>27650</v>
          </cell>
        </row>
        <row r="394">
          <cell r="B394" t="str">
            <v>0215</v>
          </cell>
          <cell r="C394" t="str">
            <v>L.PAST DELACTOSADA COLANTA BOL X1000MLX3</v>
          </cell>
          <cell r="D394">
            <v>10530</v>
          </cell>
        </row>
        <row r="395">
          <cell r="B395" t="str">
            <v>0217</v>
          </cell>
          <cell r="C395" t="str">
            <v>PAQ PROMO LECHE PASTERIZADA+QUESITO</v>
          </cell>
          <cell r="D395">
            <v>7620</v>
          </cell>
        </row>
        <row r="396">
          <cell r="B396" t="str">
            <v>0219</v>
          </cell>
          <cell r="C396" t="str">
            <v>L.UHT ENTERA MONTEFRIO X900X6U CANASTA</v>
          </cell>
          <cell r="D396">
            <v>22320</v>
          </cell>
        </row>
        <row r="397">
          <cell r="B397" t="str">
            <v>0220</v>
          </cell>
          <cell r="C397" t="str">
            <v>L.UHT ENTERA MONTEFRIO X900X5UND</v>
          </cell>
          <cell r="D397">
            <v>18600</v>
          </cell>
        </row>
        <row r="398">
          <cell r="B398" t="str">
            <v>0294</v>
          </cell>
          <cell r="C398" t="str">
            <v>PAQ LUHT ENTERA COL B1000 PAGUE5 LLEVE6</v>
          </cell>
          <cell r="D398">
            <v>23110</v>
          </cell>
        </row>
        <row r="399">
          <cell r="B399" t="str">
            <v>0295</v>
          </cell>
          <cell r="C399" t="str">
            <v>PAQ LUHT DESLACT COL B1000 PAGUE5 LLEVE6</v>
          </cell>
          <cell r="D399">
            <v>23110</v>
          </cell>
        </row>
        <row r="400">
          <cell r="B400" t="str">
            <v>0298</v>
          </cell>
          <cell r="C400" t="str">
            <v>LUHT SEMIDESCREMADA COLANTA BOLSA 900 ML</v>
          </cell>
          <cell r="D400">
            <v>3970</v>
          </cell>
        </row>
        <row r="401">
          <cell r="B401" t="str">
            <v>0299</v>
          </cell>
          <cell r="C401" t="str">
            <v>PAQ LUHT SEMIDESCREMADA COL BOLSA 900X6U</v>
          </cell>
          <cell r="D401">
            <v>3942</v>
          </cell>
        </row>
        <row r="402">
          <cell r="B402" t="str">
            <v>030B</v>
          </cell>
          <cell r="C402" t="str">
            <v>L.UHT ENTERA INSTITUCIONAL X1100ML</v>
          </cell>
          <cell r="D402">
            <v>4130</v>
          </cell>
        </row>
        <row r="403">
          <cell r="B403" t="str">
            <v>0340</v>
          </cell>
          <cell r="C403" t="str">
            <v>L.UHT DESLAC COLANTA BOL X1100ML</v>
          </cell>
          <cell r="D403">
            <v>4980</v>
          </cell>
        </row>
        <row r="404">
          <cell r="B404" t="str">
            <v>0344</v>
          </cell>
          <cell r="C404" t="str">
            <v>L.UHT ENTERA COLANTA BOL X1100ML X12U</v>
          </cell>
          <cell r="D404">
            <v>4771</v>
          </cell>
        </row>
        <row r="405">
          <cell r="B405" t="str">
            <v>0345</v>
          </cell>
          <cell r="C405" t="str">
            <v>L.UHT DESLAC COLANTA BOL X1100ML INST</v>
          </cell>
          <cell r="D405">
            <v>4130</v>
          </cell>
        </row>
        <row r="406">
          <cell r="B406" t="str">
            <v>0355</v>
          </cell>
          <cell r="C406" t="str">
            <v>LUHT ENTERA BOLSA X 1000 ML</v>
          </cell>
          <cell r="D406">
            <v>4620</v>
          </cell>
        </row>
        <row r="407">
          <cell r="B407" t="str">
            <v>0361</v>
          </cell>
          <cell r="C407" t="str">
            <v>L.UHT ENTERA COLANTA BOL X1100ML X6U</v>
          </cell>
          <cell r="D407">
            <v>29650</v>
          </cell>
        </row>
        <row r="408">
          <cell r="B408" t="str">
            <v>0363</v>
          </cell>
          <cell r="C408" t="str">
            <v>L.UHT ENTERA COLANTA BOL X900ML X6U</v>
          </cell>
          <cell r="D408">
            <v>25720</v>
          </cell>
        </row>
        <row r="409">
          <cell r="B409" t="str">
            <v>0365</v>
          </cell>
          <cell r="C409" t="str">
            <v>L.UHT ENTERA COLANTA BOL X1100ML</v>
          </cell>
          <cell r="D409">
            <v>4980</v>
          </cell>
        </row>
        <row r="410">
          <cell r="B410" t="str">
            <v>0367</v>
          </cell>
          <cell r="C410" t="str">
            <v>L.UHT ENTERA COLANTA BOL X900ML</v>
          </cell>
          <cell r="D410">
            <v>4320</v>
          </cell>
        </row>
        <row r="411">
          <cell r="B411" t="str">
            <v>0370</v>
          </cell>
          <cell r="C411" t="str">
            <v>L.UHT DESLAC COLANTA BOL X900ML</v>
          </cell>
          <cell r="D411">
            <v>4320</v>
          </cell>
        </row>
        <row r="412">
          <cell r="B412" t="str">
            <v>0371</v>
          </cell>
          <cell r="C412" t="str">
            <v>L.UHT DESLAC COLANTA BOL X900ML X6U</v>
          </cell>
          <cell r="D412">
            <v>25720</v>
          </cell>
        </row>
        <row r="413">
          <cell r="B413" t="str">
            <v>0378</v>
          </cell>
          <cell r="C413" t="str">
            <v>L.UHT DESC COLANTA BOL X900ML</v>
          </cell>
          <cell r="D413">
            <v>4530</v>
          </cell>
        </row>
        <row r="414">
          <cell r="B414" t="str">
            <v>0379</v>
          </cell>
          <cell r="C414" t="str">
            <v>L.UHT DESC COLANTA BOL X900ML X12U</v>
          </cell>
          <cell r="D414">
            <v>4471</v>
          </cell>
        </row>
        <row r="415">
          <cell r="B415" t="str">
            <v>0380</v>
          </cell>
          <cell r="C415" t="str">
            <v>L.UHT DESC COLANTA BOL X900ML X6U</v>
          </cell>
          <cell r="D415">
            <v>26840</v>
          </cell>
        </row>
        <row r="416">
          <cell r="B416" t="str">
            <v>0420</v>
          </cell>
          <cell r="C416" t="str">
            <v>L.UHT ENTERA MONTEFRIO EDGE X900ML</v>
          </cell>
          <cell r="D416">
            <v>4480</v>
          </cell>
        </row>
        <row r="417">
          <cell r="B417" t="str">
            <v>0423</v>
          </cell>
          <cell r="C417" t="str">
            <v>L.UHT ENTERA COLANTA EDGE X1000ML</v>
          </cell>
          <cell r="D417">
            <v>5190</v>
          </cell>
        </row>
        <row r="418">
          <cell r="B418" t="str">
            <v>0424</v>
          </cell>
          <cell r="C418" t="str">
            <v>L.UHT ENTERA COLANTA EDGE X1000ML X6U</v>
          </cell>
          <cell r="D418">
            <v>30410</v>
          </cell>
        </row>
        <row r="419">
          <cell r="B419" t="str">
            <v>0425</v>
          </cell>
          <cell r="C419" t="str">
            <v>L.UHT SEMIDESC COLANTA EDGE X1000ML</v>
          </cell>
          <cell r="D419">
            <v>5180</v>
          </cell>
        </row>
        <row r="420">
          <cell r="B420" t="str">
            <v>0426</v>
          </cell>
          <cell r="C420" t="str">
            <v>L.UHT SEMIDESC COLANTA EDGE X1000ML X6U</v>
          </cell>
          <cell r="D420">
            <v>30250</v>
          </cell>
        </row>
        <row r="421">
          <cell r="B421" t="str">
            <v>0427</v>
          </cell>
          <cell r="C421" t="str">
            <v>L.UHT DESL SEMI COLANTA EDGE X1L</v>
          </cell>
          <cell r="D421">
            <v>5190</v>
          </cell>
        </row>
        <row r="422">
          <cell r="B422" t="str">
            <v>0428</v>
          </cell>
          <cell r="C422" t="str">
            <v>L.UHT DESL SEMI COLANTA EDGE X1L X6U</v>
          </cell>
          <cell r="D422">
            <v>30410</v>
          </cell>
        </row>
        <row r="423">
          <cell r="B423" t="str">
            <v>0429</v>
          </cell>
          <cell r="C423" t="str">
            <v>L.UHT DESC COLANTA EDGE X1000ML</v>
          </cell>
          <cell r="D423">
            <v>5180</v>
          </cell>
        </row>
        <row r="424">
          <cell r="B424" t="str">
            <v>0430</v>
          </cell>
          <cell r="C424" t="str">
            <v>L.UHT DESC COLANTA EDGE X1000ML X6U</v>
          </cell>
          <cell r="D424">
            <v>30250</v>
          </cell>
        </row>
        <row r="425">
          <cell r="B425" t="str">
            <v>0431</v>
          </cell>
          <cell r="C425" t="str">
            <v>L.UHT DESLAC DESC COLANTA EDGE X1000ML</v>
          </cell>
          <cell r="D425">
            <v>5160</v>
          </cell>
        </row>
        <row r="426">
          <cell r="B426" t="str">
            <v>0432</v>
          </cell>
          <cell r="C426" t="str">
            <v>L.UHT DESLAC DESC COLANTA EDGE X1000ML6U</v>
          </cell>
          <cell r="D426">
            <v>30190</v>
          </cell>
        </row>
        <row r="427">
          <cell r="B427" t="str">
            <v>0439</v>
          </cell>
          <cell r="C427" t="str">
            <v>L.UHT ENTERA COLANTA BOL X900ML CESTILLO</v>
          </cell>
          <cell r="D427">
            <v>4320</v>
          </cell>
        </row>
        <row r="428">
          <cell r="B428" t="str">
            <v>0440</v>
          </cell>
          <cell r="C428" t="str">
            <v>L.UHT ENTERA COLANTA BOL X1100ML X7U</v>
          </cell>
          <cell r="D428">
            <v>33470</v>
          </cell>
        </row>
        <row r="429">
          <cell r="B429" t="str">
            <v>0441</v>
          </cell>
          <cell r="C429" t="str">
            <v>L.UHT DESLAC COLANTA BOL X1100ML X7U</v>
          </cell>
          <cell r="D429">
            <v>33470</v>
          </cell>
        </row>
        <row r="430">
          <cell r="B430" t="str">
            <v>0442</v>
          </cell>
          <cell r="C430" t="str">
            <v>L.UHT DESLAC COLANTA BOL X1100ML+100ML</v>
          </cell>
          <cell r="D430">
            <v>5130</v>
          </cell>
        </row>
        <row r="431">
          <cell r="B431" t="str">
            <v>0444</v>
          </cell>
          <cell r="C431" t="str">
            <v>L.UHT DESLAC MONTEFRIO BOLSA X900ML</v>
          </cell>
          <cell r="D431">
            <v>3760</v>
          </cell>
        </row>
        <row r="432">
          <cell r="B432" t="str">
            <v>0445</v>
          </cell>
          <cell r="C432" t="str">
            <v>L.UHT DESLAC MONTEFRIO BOLSA X900ML X6U</v>
          </cell>
          <cell r="D432">
            <v>22320</v>
          </cell>
        </row>
        <row r="433">
          <cell r="B433" t="str">
            <v>0446</v>
          </cell>
          <cell r="C433" t="str">
            <v>L.UHT ENTERA COOLESAR BOLSA X900ML X6U</v>
          </cell>
          <cell r="D433">
            <v>21640</v>
          </cell>
        </row>
        <row r="434">
          <cell r="B434" t="str">
            <v>0447</v>
          </cell>
          <cell r="C434" t="str">
            <v>L.UHT DESLAC MONTEFRIO EDGE X900ML</v>
          </cell>
          <cell r="D434">
            <v>4480</v>
          </cell>
        </row>
        <row r="435">
          <cell r="B435" t="str">
            <v>0472</v>
          </cell>
          <cell r="C435" t="str">
            <v>L.UHT SEMIDESCREMADA MONTEFRIO BOL 900ML</v>
          </cell>
          <cell r="D435">
            <v>3760</v>
          </cell>
        </row>
        <row r="436">
          <cell r="B436" t="str">
            <v>0473</v>
          </cell>
          <cell r="C436" t="str">
            <v>L.UHT SEMIDESCREMA MONTEFRIO BOL 900MLX6</v>
          </cell>
          <cell r="D436">
            <v>22320</v>
          </cell>
        </row>
        <row r="437">
          <cell r="B437" t="str">
            <v>0496</v>
          </cell>
          <cell r="C437" t="str">
            <v>LUHT ENTERA COLANTA BOLSA X1000MLX6U</v>
          </cell>
          <cell r="D437">
            <v>4608</v>
          </cell>
        </row>
        <row r="438">
          <cell r="B438" t="str">
            <v>0497</v>
          </cell>
          <cell r="C438" t="str">
            <v>LUHT DESLACTOSADA COLANTA BOLSA X 1000ML</v>
          </cell>
          <cell r="D438">
            <v>4620</v>
          </cell>
        </row>
        <row r="439">
          <cell r="B439" t="str">
            <v>0498</v>
          </cell>
          <cell r="C439" t="str">
            <v>LUHT DESLAC COLANTA BOL X1000MLX6U</v>
          </cell>
          <cell r="D439">
            <v>4608</v>
          </cell>
        </row>
        <row r="440">
          <cell r="B440" t="str">
            <v>060I</v>
          </cell>
          <cell r="C440" t="str">
            <v>L.UHT ENTERA DISCOLACT BOL X900ML X6U</v>
          </cell>
          <cell r="D440">
            <v>20090</v>
          </cell>
        </row>
        <row r="441">
          <cell r="B441" t="str">
            <v>060J</v>
          </cell>
          <cell r="C441" t="str">
            <v>L.UHT ENTERA DISCOLACT BOL X1100ML X6U</v>
          </cell>
          <cell r="D441">
            <v>23450</v>
          </cell>
        </row>
        <row r="442">
          <cell r="B442" t="str">
            <v>060K</v>
          </cell>
          <cell r="C442" t="str">
            <v>L.UHT DESLAC DISCOLACTEOS X900ML X6U</v>
          </cell>
          <cell r="D442">
            <v>20090</v>
          </cell>
        </row>
        <row r="443">
          <cell r="B443" t="str">
            <v>0613</v>
          </cell>
          <cell r="C443" t="str">
            <v>L.UHT SEMIDESC COLANTA BOL X1100ML</v>
          </cell>
          <cell r="D443">
            <v>4760</v>
          </cell>
        </row>
        <row r="444">
          <cell r="B444" t="str">
            <v>0614</v>
          </cell>
          <cell r="C444" t="str">
            <v>L.UHT SEMIDESC COLANTA BOL X1100ML X6U</v>
          </cell>
          <cell r="D444">
            <v>28340</v>
          </cell>
        </row>
        <row r="445">
          <cell r="B445" t="str">
            <v>0619</v>
          </cell>
          <cell r="C445" t="str">
            <v>L.UHT DESLAC COLANTA BOL X1100ML X6U</v>
          </cell>
          <cell r="D445">
            <v>29650</v>
          </cell>
        </row>
        <row r="446">
          <cell r="B446" t="str">
            <v>0620</v>
          </cell>
          <cell r="C446" t="str">
            <v>L.UHT ENTERA MONTEFRIO BOLSA X900ML</v>
          </cell>
          <cell r="D446">
            <v>3760</v>
          </cell>
        </row>
        <row r="447">
          <cell r="B447" t="str">
            <v>0621</v>
          </cell>
          <cell r="C447" t="str">
            <v>L.UHT ENTERA MONTEFRIO BOLSA X900ML X6U</v>
          </cell>
          <cell r="D447">
            <v>22320</v>
          </cell>
        </row>
        <row r="448">
          <cell r="B448" t="str">
            <v>0622</v>
          </cell>
          <cell r="C448" t="str">
            <v>L.UHT ENTERA COLANTA BOL X1,1L X6U CANAS</v>
          </cell>
          <cell r="D448">
            <v>28270</v>
          </cell>
        </row>
        <row r="449">
          <cell r="B449" t="str">
            <v>0623</v>
          </cell>
          <cell r="C449" t="str">
            <v>L.UHT DESLAC COLANTA BOL X1,1L 6U CANAST</v>
          </cell>
          <cell r="D449">
            <v>28270</v>
          </cell>
        </row>
        <row r="450">
          <cell r="B450" t="str">
            <v>0627</v>
          </cell>
          <cell r="C450" t="str">
            <v>L.UHT ENTERA EUROMAX BOLSA X900ML X6U</v>
          </cell>
          <cell r="D450">
            <v>30</v>
          </cell>
        </row>
        <row r="451">
          <cell r="B451" t="str">
            <v>0641</v>
          </cell>
          <cell r="C451" t="str">
            <v>L.UHT DESLAC EUROMAX BOLSA X900ML X6U</v>
          </cell>
          <cell r="D451">
            <v>30</v>
          </cell>
        </row>
        <row r="452">
          <cell r="B452" t="str">
            <v>0651</v>
          </cell>
          <cell r="C452" t="str">
            <v>L.UHT DESLAC COLANTA BOL X1100ML X12U</v>
          </cell>
          <cell r="D452">
            <v>4783</v>
          </cell>
        </row>
        <row r="453">
          <cell r="B453" t="str">
            <v>0654</v>
          </cell>
          <cell r="C453" t="str">
            <v>L.UHT DESLAC BOLSA X900ML X6U X5 ARA</v>
          </cell>
          <cell r="D453">
            <v>0</v>
          </cell>
        </row>
        <row r="454">
          <cell r="B454">
            <v>8565</v>
          </cell>
          <cell r="C454" t="str">
            <v>LECHE CRUDA ESTANDARIZADA DESCREMADA</v>
          </cell>
          <cell r="D454">
            <v>0</v>
          </cell>
        </row>
        <row r="455">
          <cell r="B455" t="str">
            <v>0904</v>
          </cell>
          <cell r="C455" t="str">
            <v>L.UHT ENTERA DISCOLAC BOLSA X400ML</v>
          </cell>
          <cell r="D455">
            <v>0</v>
          </cell>
        </row>
        <row r="456">
          <cell r="B456" t="str">
            <v>0906</v>
          </cell>
          <cell r="C456" t="str">
            <v>LUHT ENTERA INSTITUCIONAL BOLSA 1000 ML</v>
          </cell>
          <cell r="D456">
            <v>4620</v>
          </cell>
        </row>
        <row r="457">
          <cell r="B457" t="str">
            <v>0907</v>
          </cell>
          <cell r="C457" t="str">
            <v>LUHT DESLACT INSTITUCIONAL BOLSA 1000 ML</v>
          </cell>
          <cell r="D457">
            <v>4620</v>
          </cell>
        </row>
        <row r="458">
          <cell r="B458">
            <v>1002698</v>
          </cell>
          <cell r="C458" t="str">
            <v>LUHT ENTERA BOLSA ASÉPTICA 1000 ML (UND)</v>
          </cell>
          <cell r="D458">
            <v>4620</v>
          </cell>
        </row>
        <row r="459">
          <cell r="B459">
            <v>1002699</v>
          </cell>
          <cell r="C459" t="str">
            <v>LUHT DESLACT COLANTA BOLSA 1000 ML (UND)</v>
          </cell>
          <cell r="D459">
            <v>4620</v>
          </cell>
        </row>
        <row r="460">
          <cell r="B460">
            <v>1202</v>
          </cell>
          <cell r="C460" t="str">
            <v>L.PAST ENTERA PROLINCO BOL X900ML</v>
          </cell>
          <cell r="D460">
            <v>3010</v>
          </cell>
        </row>
        <row r="461">
          <cell r="B461">
            <v>1203</v>
          </cell>
          <cell r="C461" t="str">
            <v>L.UHT ENTERA PROLINCO BOLSA X900ML</v>
          </cell>
          <cell r="D461">
            <v>3570</v>
          </cell>
        </row>
        <row r="462">
          <cell r="B462">
            <v>1204</v>
          </cell>
          <cell r="C462" t="str">
            <v>L.UHT ENTERA PROLINCO BOLSA X900ML X6U</v>
          </cell>
          <cell r="D462">
            <v>3527</v>
          </cell>
        </row>
        <row r="463">
          <cell r="B463">
            <v>1224</v>
          </cell>
          <cell r="C463" t="str">
            <v>L.UHT DESLAC SEMI PROLINCO BOL X900ML</v>
          </cell>
          <cell r="D463">
            <v>3570</v>
          </cell>
        </row>
        <row r="464">
          <cell r="B464">
            <v>1225</v>
          </cell>
          <cell r="C464" t="str">
            <v>L.UHT DESLAC SEMI PROLINCO BOL X900ML X6</v>
          </cell>
          <cell r="D464">
            <v>3527</v>
          </cell>
        </row>
        <row r="465">
          <cell r="B465">
            <v>1233</v>
          </cell>
          <cell r="C465" t="str">
            <v>L.UHT ENTERA PROLINCO BOLSA X400ML</v>
          </cell>
          <cell r="D465">
            <v>1620</v>
          </cell>
        </row>
        <row r="466">
          <cell r="B466">
            <v>2203</v>
          </cell>
          <cell r="C466" t="str">
            <v>L.UHT ENTERA COLANTA BOL X1100ML CANASTA</v>
          </cell>
          <cell r="D466">
            <v>4980</v>
          </cell>
        </row>
        <row r="467">
          <cell r="B467" t="str">
            <v>410R</v>
          </cell>
          <cell r="C467" t="str">
            <v>L.UHT ENTERA COOLESAR BOLSA X900ML</v>
          </cell>
          <cell r="D467">
            <v>3650</v>
          </cell>
        </row>
        <row r="468">
          <cell r="B468" t="str">
            <v>516W</v>
          </cell>
          <cell r="C468" t="str">
            <v>L.UHT DESLAC COLANTA BOL X1100ML 5X6</v>
          </cell>
          <cell r="D468">
            <v>24890</v>
          </cell>
        </row>
        <row r="469">
          <cell r="B469" t="str">
            <v>523R</v>
          </cell>
          <cell r="C469" t="str">
            <v>L.UHT ENTERA COLANTA BOL X1100ML 5X6</v>
          </cell>
          <cell r="D469">
            <v>24890</v>
          </cell>
        </row>
        <row r="470">
          <cell r="B470">
            <v>8505</v>
          </cell>
          <cell r="C470" t="str">
            <v>LECHE CRUDA COLANTA GRANEL X L</v>
          </cell>
          <cell r="D470">
            <v>2500</v>
          </cell>
        </row>
        <row r="471">
          <cell r="B471">
            <v>4003</v>
          </cell>
          <cell r="C471" t="str">
            <v>AREQUIPE COLANTA ALTA DENSIDAD CJA X10KG</v>
          </cell>
          <cell r="D471">
            <v>153336</v>
          </cell>
        </row>
        <row r="472">
          <cell r="B472">
            <v>4053</v>
          </cell>
          <cell r="C472" t="str">
            <v>AREQUIPE SOLUC COLANTA DOYPACK X250G</v>
          </cell>
          <cell r="D472">
            <v>4664</v>
          </cell>
        </row>
        <row r="473">
          <cell r="B473">
            <v>4054</v>
          </cell>
          <cell r="C473" t="str">
            <v>AREQUIPE SOLUC COLANTA DOYPACK X1KG</v>
          </cell>
          <cell r="D473">
            <v>18000</v>
          </cell>
        </row>
        <row r="474">
          <cell r="B474">
            <v>4055</v>
          </cell>
          <cell r="C474" t="str">
            <v>AREQUIPE SOLUC COLANTA CAJA X5KG</v>
          </cell>
          <cell r="D474">
            <v>78681</v>
          </cell>
        </row>
        <row r="475">
          <cell r="B475">
            <v>4201</v>
          </cell>
          <cell r="C475" t="str">
            <v>PETITO SURT COLANTA X100G X6U</v>
          </cell>
          <cell r="D475">
            <v>14500</v>
          </cell>
        </row>
        <row r="476">
          <cell r="B476">
            <v>4214</v>
          </cell>
          <cell r="C476" t="str">
            <v>PETITO FRESA COLANTA X50G X2U</v>
          </cell>
          <cell r="D476">
            <v>2570</v>
          </cell>
        </row>
        <row r="477">
          <cell r="B477">
            <v>4215</v>
          </cell>
          <cell r="C477" t="str">
            <v>PETITO MELO COLANTA X50G X2U</v>
          </cell>
          <cell r="D477">
            <v>2570</v>
          </cell>
        </row>
        <row r="478">
          <cell r="B478">
            <v>4216</v>
          </cell>
          <cell r="C478" t="str">
            <v>PETITO MORA COLANTA X50G X2U</v>
          </cell>
          <cell r="D478">
            <v>2570</v>
          </cell>
        </row>
        <row r="479">
          <cell r="B479">
            <v>4217</v>
          </cell>
          <cell r="C479" t="str">
            <v>PETITO SURT COLANTA X100G X3U</v>
          </cell>
          <cell r="D479">
            <v>6870</v>
          </cell>
        </row>
        <row r="480">
          <cell r="B480">
            <v>6104</v>
          </cell>
          <cell r="C480" t="str">
            <v>GELAT TWISTY UVA COLANTA ED ESP X120G</v>
          </cell>
          <cell r="D480">
            <v>1114</v>
          </cell>
        </row>
        <row r="481">
          <cell r="B481">
            <v>6105</v>
          </cell>
          <cell r="C481" t="str">
            <v>GELAT TWISTY FRESA COLANTA X120G</v>
          </cell>
          <cell r="D481">
            <v>1122</v>
          </cell>
        </row>
        <row r="482">
          <cell r="B482">
            <v>6107</v>
          </cell>
          <cell r="C482" t="str">
            <v>GELAT TWISTY MORA COLANTA X120G</v>
          </cell>
          <cell r="D482">
            <v>1122</v>
          </cell>
        </row>
        <row r="483">
          <cell r="B483">
            <v>6108</v>
          </cell>
          <cell r="C483" t="str">
            <v>GELAT TWISTY NARANJA COLANTA X120G</v>
          </cell>
          <cell r="D483">
            <v>1122</v>
          </cell>
        </row>
        <row r="484">
          <cell r="B484">
            <v>6109</v>
          </cell>
          <cell r="C484" t="str">
            <v>GELAT TWISTY UVACOLANTA X120G</v>
          </cell>
          <cell r="D484">
            <v>1122</v>
          </cell>
        </row>
        <row r="485">
          <cell r="B485">
            <v>6117</v>
          </cell>
          <cell r="C485" t="str">
            <v>GELAT TWISTY SURTIDA COLANTA X120G X4U</v>
          </cell>
          <cell r="D485">
            <v>4265</v>
          </cell>
        </row>
        <row r="486">
          <cell r="B486">
            <v>6118</v>
          </cell>
          <cell r="C486" t="str">
            <v>GELATINA TWISTY FRESA L. CONDENS X140G</v>
          </cell>
          <cell r="D486">
            <v>1752</v>
          </cell>
        </row>
        <row r="487">
          <cell r="B487">
            <v>6119</v>
          </cell>
          <cell r="C487" t="str">
            <v>GELATINA TWISTY MORA L. CONDENS X140G</v>
          </cell>
          <cell r="D487">
            <v>1752</v>
          </cell>
        </row>
        <row r="488">
          <cell r="B488">
            <v>6120</v>
          </cell>
          <cell r="C488" t="str">
            <v>GELATINA TWISTY NARANJA L. CONDENS X140G</v>
          </cell>
          <cell r="D488">
            <v>1752</v>
          </cell>
        </row>
        <row r="489">
          <cell r="B489">
            <v>6121</v>
          </cell>
          <cell r="C489" t="str">
            <v>GELATINA TWISTY UVA L. CONDENS X140G</v>
          </cell>
          <cell r="D489">
            <v>1752</v>
          </cell>
        </row>
        <row r="490">
          <cell r="B490" t="str">
            <v>0221</v>
          </cell>
          <cell r="C490" t="str">
            <v>COMBO DESAYUNO PLAN QUESITO</v>
          </cell>
          <cell r="D490">
            <v>15370</v>
          </cell>
        </row>
        <row r="491">
          <cell r="B491" t="str">
            <v>0470</v>
          </cell>
          <cell r="C491" t="str">
            <v>QUESO MOZARELLA CUBICADO X 500G</v>
          </cell>
          <cell r="D491">
            <v>19320</v>
          </cell>
        </row>
        <row r="492">
          <cell r="B492" t="str">
            <v>0921</v>
          </cell>
          <cell r="C492" t="str">
            <v>QUESO MONTERREY JACK TAJADO X 250G</v>
          </cell>
          <cell r="D492">
            <v>16000</v>
          </cell>
        </row>
        <row r="493">
          <cell r="B493">
            <v>1205</v>
          </cell>
          <cell r="C493" t="str">
            <v>QUESITO PROLINCO X400G</v>
          </cell>
          <cell r="D493">
            <v>7370</v>
          </cell>
        </row>
        <row r="494">
          <cell r="B494">
            <v>1206</v>
          </cell>
          <cell r="C494" t="str">
            <v>QUESITO PROLINCO X200G</v>
          </cell>
          <cell r="D494">
            <v>3950</v>
          </cell>
        </row>
        <row r="495">
          <cell r="B495">
            <v>1207</v>
          </cell>
          <cell r="C495" t="str">
            <v>CUAJADA PROLINCO X400G</v>
          </cell>
          <cell r="D495">
            <v>8100</v>
          </cell>
        </row>
        <row r="496">
          <cell r="B496">
            <v>1222</v>
          </cell>
          <cell r="C496" t="str">
            <v>QUESITO PROLINCO TIPO TASA X500G</v>
          </cell>
          <cell r="D496">
            <v>9300</v>
          </cell>
        </row>
        <row r="497">
          <cell r="B497">
            <v>1305</v>
          </cell>
          <cell r="C497" t="str">
            <v>QUESO BLANCO INDUSTRIAL COLANTA X1KG</v>
          </cell>
          <cell r="D497">
            <v>26320</v>
          </cell>
        </row>
        <row r="498">
          <cell r="B498">
            <v>1307</v>
          </cell>
          <cell r="C498" t="str">
            <v>QUESO BLANCO PANADERIA COLANTA X1KG</v>
          </cell>
          <cell r="D498">
            <v>26410</v>
          </cell>
        </row>
        <row r="499">
          <cell r="B499">
            <v>1395</v>
          </cell>
          <cell r="C499" t="str">
            <v>QUESO BLANCO COLANTA DE SEGUNDA X1KG</v>
          </cell>
          <cell r="D499">
            <v>11420</v>
          </cell>
        </row>
        <row r="500">
          <cell r="B500">
            <v>1403</v>
          </cell>
          <cell r="C500" t="str">
            <v>QUESITO MONTEFRIO X400G</v>
          </cell>
          <cell r="D500">
            <v>7420</v>
          </cell>
        </row>
        <row r="501">
          <cell r="B501">
            <v>1405</v>
          </cell>
          <cell r="C501" t="str">
            <v>QUESITO COLANTA X220G</v>
          </cell>
          <cell r="D501">
            <v>4450</v>
          </cell>
        </row>
        <row r="502">
          <cell r="B502">
            <v>1407</v>
          </cell>
          <cell r="C502" t="str">
            <v>QUESITO MONTEFRIO X220G</v>
          </cell>
          <cell r="D502">
            <v>4170</v>
          </cell>
        </row>
        <row r="503">
          <cell r="B503">
            <v>1408</v>
          </cell>
          <cell r="C503" t="str">
            <v>QUESITO MONTEFRIO X 200G</v>
          </cell>
          <cell r="D503">
            <v>4110</v>
          </cell>
        </row>
        <row r="504">
          <cell r="B504">
            <v>1416</v>
          </cell>
          <cell r="C504" t="str">
            <v>CUAJADA COLANTA X500G</v>
          </cell>
          <cell r="D504">
            <v>11500</v>
          </cell>
        </row>
        <row r="505">
          <cell r="B505">
            <v>1417</v>
          </cell>
          <cell r="C505" t="str">
            <v>CUAJADA COLANTA X250G</v>
          </cell>
          <cell r="D505">
            <v>5940</v>
          </cell>
        </row>
        <row r="506">
          <cell r="B506">
            <v>1420</v>
          </cell>
          <cell r="C506" t="str">
            <v>QUESITO COLANTA AL VACIO X200G</v>
          </cell>
          <cell r="D506">
            <v>4190</v>
          </cell>
        </row>
        <row r="507">
          <cell r="B507">
            <v>1421</v>
          </cell>
          <cell r="C507" t="str">
            <v>CUAJADA COLANTA X 400G</v>
          </cell>
          <cell r="D507">
            <v>8610</v>
          </cell>
        </row>
        <row r="508">
          <cell r="B508">
            <v>1423</v>
          </cell>
          <cell r="C508" t="str">
            <v>QUESITO MONTEFRIO X80G</v>
          </cell>
          <cell r="D508">
            <v>1630</v>
          </cell>
        </row>
        <row r="509">
          <cell r="B509">
            <v>1424</v>
          </cell>
          <cell r="C509" t="str">
            <v>QUESITO MONTEFRIO X 380G</v>
          </cell>
          <cell r="D509">
            <v>7480</v>
          </cell>
        </row>
        <row r="510">
          <cell r="B510">
            <v>1425</v>
          </cell>
          <cell r="C510" t="str">
            <v>QUESITO COLANTA X 200G</v>
          </cell>
          <cell r="D510">
            <v>4190</v>
          </cell>
        </row>
        <row r="511">
          <cell r="B511">
            <v>1426</v>
          </cell>
          <cell r="C511" t="str">
            <v>QUESITO COLANTA X 380G</v>
          </cell>
          <cell r="D511">
            <v>7980</v>
          </cell>
        </row>
        <row r="512">
          <cell r="B512">
            <v>1427</v>
          </cell>
          <cell r="C512" t="str">
            <v>QUESITO TASA MONTEFRIO X 500G</v>
          </cell>
          <cell r="D512">
            <v>9300</v>
          </cell>
        </row>
        <row r="513">
          <cell r="B513">
            <v>1429</v>
          </cell>
          <cell r="C513" t="str">
            <v>QUESITO MONTEFRIO AL VACIO X 200G</v>
          </cell>
          <cell r="D513">
            <v>4110</v>
          </cell>
        </row>
        <row r="514">
          <cell r="B514">
            <v>1430</v>
          </cell>
          <cell r="C514" t="str">
            <v>QUESITO MONTEFR VACIOX200GRDUOPACK(2UN)</v>
          </cell>
          <cell r="D514">
            <v>8210</v>
          </cell>
        </row>
        <row r="515">
          <cell r="B515">
            <v>1431</v>
          </cell>
          <cell r="C515" t="str">
            <v>QUESITO MONTEFRIO AL VACIO X 380G</v>
          </cell>
          <cell r="D515">
            <v>7480</v>
          </cell>
        </row>
        <row r="516">
          <cell r="B516">
            <v>1432</v>
          </cell>
          <cell r="C516" t="str">
            <v>QUESITO COLANTA AL VACIO X 380G</v>
          </cell>
          <cell r="D516">
            <v>7980</v>
          </cell>
        </row>
        <row r="517">
          <cell r="B517">
            <v>1455</v>
          </cell>
          <cell r="C517" t="str">
            <v>QUESITO COLANTA AL VACIO X450G</v>
          </cell>
          <cell r="D517">
            <v>9930</v>
          </cell>
        </row>
        <row r="518">
          <cell r="B518">
            <v>1460</v>
          </cell>
          <cell r="C518" t="str">
            <v>QUESITO COLANTA AL VACIO X250G</v>
          </cell>
          <cell r="D518">
            <v>5520</v>
          </cell>
        </row>
        <row r="519">
          <cell r="B519">
            <v>1496</v>
          </cell>
          <cell r="C519" t="str">
            <v>QUESITO COLANTA DE SEGUNDA</v>
          </cell>
          <cell r="D519">
            <v>10610</v>
          </cell>
        </row>
        <row r="520">
          <cell r="B520">
            <v>1497</v>
          </cell>
          <cell r="C520" t="str">
            <v>CUAJADA DE SEGUNDA COLANTA</v>
          </cell>
          <cell r="D520">
            <v>11150</v>
          </cell>
        </row>
        <row r="521">
          <cell r="B521">
            <v>1517</v>
          </cell>
          <cell r="C521" t="str">
            <v>QUESO BLANCO COLANTA X2KG</v>
          </cell>
          <cell r="D521">
            <v>55730</v>
          </cell>
        </row>
        <row r="522">
          <cell r="B522">
            <v>1519</v>
          </cell>
          <cell r="C522" t="str">
            <v>QUESO BLANCO COLANTA +/- 2KG</v>
          </cell>
          <cell r="D522">
            <v>27880</v>
          </cell>
        </row>
        <row r="523">
          <cell r="B523">
            <v>1520</v>
          </cell>
          <cell r="C523" t="str">
            <v>QUESO BLANCO COLANTA X1KG</v>
          </cell>
          <cell r="D523">
            <v>27900</v>
          </cell>
        </row>
        <row r="524">
          <cell r="B524">
            <v>1521</v>
          </cell>
          <cell r="C524" t="str">
            <v>QUESO BLANCO COLANTA X125G</v>
          </cell>
          <cell r="D524">
            <v>3710</v>
          </cell>
        </row>
        <row r="525">
          <cell r="B525">
            <v>1540</v>
          </cell>
          <cell r="C525" t="str">
            <v>QUESO BLANCO COLANTA X500G</v>
          </cell>
          <cell r="D525">
            <v>14350</v>
          </cell>
        </row>
        <row r="526">
          <cell r="B526">
            <v>1545</v>
          </cell>
          <cell r="C526" t="str">
            <v>QUESO BLANCO COLANTA X250G</v>
          </cell>
          <cell r="D526">
            <v>7210</v>
          </cell>
        </row>
        <row r="527">
          <cell r="B527">
            <v>1549</v>
          </cell>
          <cell r="C527" t="str">
            <v>QUESO BLANCO SLIGHT COLANTA X250G</v>
          </cell>
          <cell r="D527">
            <v>7400</v>
          </cell>
        </row>
        <row r="528">
          <cell r="B528">
            <v>1552</v>
          </cell>
          <cell r="C528" t="str">
            <v>QUESO CAMPESINO COLANTA X250G</v>
          </cell>
          <cell r="D528">
            <v>7210</v>
          </cell>
        </row>
        <row r="529">
          <cell r="B529">
            <v>1560</v>
          </cell>
          <cell r="C529" t="str">
            <v>QUESO CAMPESINO COLANTA X125G</v>
          </cell>
          <cell r="D529">
            <v>3710</v>
          </cell>
        </row>
        <row r="530">
          <cell r="B530">
            <v>1566</v>
          </cell>
          <cell r="C530" t="str">
            <v>QUESO PARA ASAR COLANTA +/- 1KG</v>
          </cell>
          <cell r="D530">
            <v>30820</v>
          </cell>
        </row>
        <row r="531">
          <cell r="B531">
            <v>1567</v>
          </cell>
          <cell r="C531" t="str">
            <v>QUESO BLANCO 500G GRATIS AREQUIPE D100G</v>
          </cell>
          <cell r="D531">
            <v>14350</v>
          </cell>
        </row>
        <row r="532">
          <cell r="B532">
            <v>1568</v>
          </cell>
          <cell r="C532" t="str">
            <v>2Q BLANCOX250G GRATIS AREQ DOYPACKX100G</v>
          </cell>
          <cell r="D532">
            <v>14430</v>
          </cell>
        </row>
        <row r="533">
          <cell r="B533">
            <v>1569</v>
          </cell>
          <cell r="C533" t="str">
            <v>2Q BLANCOX125G GRATIS 2 AREQU SACHETX20G</v>
          </cell>
          <cell r="D533">
            <v>7410</v>
          </cell>
        </row>
        <row r="534">
          <cell r="B534">
            <v>1572</v>
          </cell>
          <cell r="C534" t="str">
            <v>2QCAMPESIX250G GRATIS AREQ DOYPACKX100G</v>
          </cell>
          <cell r="D534">
            <v>14430</v>
          </cell>
        </row>
        <row r="535">
          <cell r="B535">
            <v>1573</v>
          </cell>
          <cell r="C535" t="str">
            <v>RECORTE QUESO PARA ASAR 500GR</v>
          </cell>
          <cell r="D535">
            <v>13160</v>
          </cell>
        </row>
        <row r="536">
          <cell r="B536">
            <v>1631</v>
          </cell>
          <cell r="C536" t="str">
            <v>QUESO COSTEÑO COLANTA BLOQUE +/- 2.5KG</v>
          </cell>
          <cell r="D536">
            <v>32290</v>
          </cell>
        </row>
        <row r="537">
          <cell r="B537">
            <v>1633</v>
          </cell>
          <cell r="C537" t="str">
            <v>QUESO COSTEÑO COLANTA  +/- 10 KG</v>
          </cell>
          <cell r="D537">
            <v>32070</v>
          </cell>
        </row>
        <row r="538">
          <cell r="B538">
            <v>1636</v>
          </cell>
          <cell r="C538" t="str">
            <v>QUESO COSTEÑO RECORTE</v>
          </cell>
          <cell r="D538">
            <v>20160</v>
          </cell>
        </row>
        <row r="539">
          <cell r="B539">
            <v>1641</v>
          </cell>
          <cell r="C539" t="str">
            <v>QUESO COSTEÑO COLANTA BLOQUE X1000G</v>
          </cell>
          <cell r="D539">
            <v>29410</v>
          </cell>
        </row>
        <row r="540">
          <cell r="B540">
            <v>1642</v>
          </cell>
          <cell r="C540" t="str">
            <v>QUESO COSTEÑO COLANTA BLOQUE X500G</v>
          </cell>
          <cell r="D540">
            <v>14860</v>
          </cell>
        </row>
        <row r="541">
          <cell r="B541">
            <v>1643</v>
          </cell>
          <cell r="C541" t="str">
            <v>QUESO COSTEÑO COLANTA RALLADO X500G</v>
          </cell>
          <cell r="D541">
            <v>15260</v>
          </cell>
        </row>
        <row r="542">
          <cell r="B542">
            <v>1645</v>
          </cell>
          <cell r="C542" t="str">
            <v>QUESO COSTEÑO COLANTA MOLIDO X1000G</v>
          </cell>
          <cell r="D542">
            <v>30310</v>
          </cell>
        </row>
        <row r="543">
          <cell r="B543">
            <v>1710</v>
          </cell>
          <cell r="C543" t="str">
            <v>QUESO HOLANDES COLANTA TAJADO X200G</v>
          </cell>
          <cell r="D543">
            <v>11227</v>
          </cell>
        </row>
        <row r="544">
          <cell r="B544">
            <v>1764</v>
          </cell>
          <cell r="C544" t="str">
            <v>QUESO HOLANDES COLANTA BLOQUE +/- 2KG</v>
          </cell>
          <cell r="D544">
            <v>48210</v>
          </cell>
        </row>
        <row r="545">
          <cell r="B545">
            <v>1765</v>
          </cell>
          <cell r="C545" t="str">
            <v>QUESO HOLANDES TIPO GOUADA COLANTA X2KG</v>
          </cell>
          <cell r="D545">
            <v>96353</v>
          </cell>
        </row>
        <row r="546">
          <cell r="B546">
            <v>1781</v>
          </cell>
          <cell r="C546" t="str">
            <v>QUESO HOLANDES NAVIDEÑO COLANTA X475G</v>
          </cell>
          <cell r="D546">
            <v>29731</v>
          </cell>
        </row>
        <row r="547">
          <cell r="B547">
            <v>1795</v>
          </cell>
          <cell r="C547" t="str">
            <v>QUESO HOLANDES COLANTA SEGUNDA</v>
          </cell>
          <cell r="D547">
            <v>12647</v>
          </cell>
        </row>
        <row r="548">
          <cell r="B548">
            <v>1822</v>
          </cell>
          <cell r="C548" t="str">
            <v>QUESO CHEDDAR CON PIMENTON BLOQUE X 200G</v>
          </cell>
          <cell r="D548">
            <v>11269</v>
          </cell>
        </row>
        <row r="549">
          <cell r="B549">
            <v>1904</v>
          </cell>
          <cell r="C549" t="str">
            <v>QUESO PARMESANO COLANTA BLOQUE X1KG</v>
          </cell>
          <cell r="D549">
            <v>63496</v>
          </cell>
        </row>
        <row r="550">
          <cell r="B550">
            <v>1906</v>
          </cell>
          <cell r="C550" t="str">
            <v>QUESO PARMESANO COLANTA CUÑA X1KG</v>
          </cell>
          <cell r="D550">
            <v>66</v>
          </cell>
        </row>
        <row r="551">
          <cell r="B551">
            <v>1922</v>
          </cell>
          <cell r="C551" t="str">
            <v>QUESO PARMESANO RALLADO COLANTA X1KG</v>
          </cell>
          <cell r="D551">
            <v>73630</v>
          </cell>
        </row>
        <row r="552">
          <cell r="B552">
            <v>1923</v>
          </cell>
          <cell r="C552" t="str">
            <v>QUESO PARMESANO RALLADO COLANTA X500G</v>
          </cell>
          <cell r="D552">
            <v>37185</v>
          </cell>
        </row>
        <row r="553">
          <cell r="B553">
            <v>1925</v>
          </cell>
          <cell r="C553" t="str">
            <v>QUESO PARMESANO RALLADO COLANTA X250G</v>
          </cell>
          <cell r="D553">
            <v>18664</v>
          </cell>
        </row>
        <row r="554">
          <cell r="B554">
            <v>1930</v>
          </cell>
          <cell r="C554" t="str">
            <v>QUESO PARMESANO RALLADO COLANTA X100G</v>
          </cell>
          <cell r="D554">
            <v>8269</v>
          </cell>
        </row>
        <row r="555">
          <cell r="B555">
            <v>1931</v>
          </cell>
          <cell r="C555" t="str">
            <v>QUESO PARMESANO RALLADO COLANTA X40G</v>
          </cell>
          <cell r="D555">
            <v>3504</v>
          </cell>
        </row>
        <row r="556">
          <cell r="B556">
            <v>1940</v>
          </cell>
          <cell r="C556" t="str">
            <v>QUESO PROVOLONE COLANTA RODAJA +/- 110G</v>
          </cell>
          <cell r="D556">
            <v>74</v>
          </cell>
        </row>
        <row r="557">
          <cell r="B557">
            <v>1941</v>
          </cell>
          <cell r="C557" t="str">
            <v>QUESO PROVOLONE COLANTA BLOQUE X1KG</v>
          </cell>
          <cell r="D557">
            <v>69546</v>
          </cell>
        </row>
        <row r="558">
          <cell r="B558">
            <v>1946</v>
          </cell>
          <cell r="C558" t="str">
            <v>QUESO ENTRERRIOS COLANTA CUÑA 150G-180G</v>
          </cell>
          <cell r="D558">
            <v>63756</v>
          </cell>
        </row>
        <row r="559">
          <cell r="B559">
            <v>1950</v>
          </cell>
          <cell r="C559" t="str">
            <v>QUESO EMMENTAL COLANTA BLOQUE</v>
          </cell>
          <cell r="D559">
            <v>69546</v>
          </cell>
        </row>
        <row r="560">
          <cell r="B560">
            <v>1951</v>
          </cell>
          <cell r="C560" t="str">
            <v>QUESO EMMENTAL COLANTA CUÑA</v>
          </cell>
          <cell r="D560">
            <v>72</v>
          </cell>
        </row>
        <row r="561">
          <cell r="B561">
            <v>1952</v>
          </cell>
          <cell r="C561" t="str">
            <v>QUESO TILSIT COLANTA BLOQUE X1KG</v>
          </cell>
          <cell r="D561">
            <v>57866</v>
          </cell>
        </row>
        <row r="562">
          <cell r="B562">
            <v>1953</v>
          </cell>
          <cell r="C562" t="str">
            <v>QUESO TILSIT COLANTA CUÑA</v>
          </cell>
          <cell r="D562">
            <v>61</v>
          </cell>
        </row>
        <row r="563">
          <cell r="B563">
            <v>1954</v>
          </cell>
          <cell r="C563" t="str">
            <v>QUESO GRUYERE COLANTA BLOQUE X1KG</v>
          </cell>
          <cell r="D563">
            <v>65126</v>
          </cell>
        </row>
        <row r="564">
          <cell r="B564">
            <v>1955</v>
          </cell>
          <cell r="C564" t="str">
            <v>QUESO GRUYERE COLANTA CUÑA</v>
          </cell>
          <cell r="D564">
            <v>69</v>
          </cell>
        </row>
        <row r="565">
          <cell r="B565">
            <v>1957</v>
          </cell>
          <cell r="C565" t="str">
            <v>QUESO CHEDDAR COLANTA TAJADO X200G</v>
          </cell>
          <cell r="D565">
            <v>11269</v>
          </cell>
        </row>
        <row r="566">
          <cell r="B566">
            <v>1959</v>
          </cell>
          <cell r="C566" t="str">
            <v>QUESO CHEDDAR COLANTA BLOQUE +/- 2.5KG</v>
          </cell>
          <cell r="D566">
            <v>53571</v>
          </cell>
        </row>
        <row r="567">
          <cell r="B567">
            <v>1960</v>
          </cell>
          <cell r="C567" t="str">
            <v>QUESO CHEDDAR COLANTA CUÑA</v>
          </cell>
          <cell r="D567">
            <v>59</v>
          </cell>
        </row>
        <row r="568">
          <cell r="B568">
            <v>1964</v>
          </cell>
          <cell r="C568" t="str">
            <v>QUESO MANCHEGO COLANTA CUÑA</v>
          </cell>
          <cell r="D568">
            <v>95445</v>
          </cell>
        </row>
        <row r="569">
          <cell r="B569">
            <v>1967</v>
          </cell>
          <cell r="C569" t="str">
            <v>QUESO MONTEREY JACK COLANTA BQUE +/- 2KG</v>
          </cell>
          <cell r="D569">
            <v>47361</v>
          </cell>
        </row>
        <row r="570">
          <cell r="B570">
            <v>1971</v>
          </cell>
          <cell r="C570" t="str">
            <v>QUESO TIPO IBERICO COLANTA CUÑA</v>
          </cell>
          <cell r="D570">
            <v>95445</v>
          </cell>
        </row>
        <row r="571">
          <cell r="B571">
            <v>1977</v>
          </cell>
          <cell r="C571" t="str">
            <v>QUESO PECORINO COLANTA CUÑA X1KG</v>
          </cell>
          <cell r="D571">
            <v>59</v>
          </cell>
        </row>
        <row r="572">
          <cell r="B572">
            <v>1985</v>
          </cell>
          <cell r="C572" t="str">
            <v>QUESO PECORINO COLANTA BLOQUE X1KG</v>
          </cell>
          <cell r="D572">
            <v>57017</v>
          </cell>
        </row>
        <row r="573">
          <cell r="B573">
            <v>1999</v>
          </cell>
          <cell r="C573" t="str">
            <v>QUESO MADURADO COLANTA DE SEGUNDA</v>
          </cell>
          <cell r="D573">
            <v>15008</v>
          </cell>
        </row>
        <row r="574">
          <cell r="B574">
            <v>2008</v>
          </cell>
          <cell r="C574" t="str">
            <v>QUESO DOBLECREMA GANITAS COLANTA X50G</v>
          </cell>
          <cell r="D574">
            <v>2320</v>
          </cell>
        </row>
        <row r="575">
          <cell r="B575">
            <v>2009</v>
          </cell>
          <cell r="C575" t="str">
            <v>QUESO DOBLECREMA GANITAS COLANTA X50G 6U</v>
          </cell>
          <cell r="D575">
            <v>13310</v>
          </cell>
        </row>
        <row r="576">
          <cell r="B576">
            <v>2010</v>
          </cell>
          <cell r="C576" t="str">
            <v>QUESO PERA COLANTA X45G</v>
          </cell>
          <cell r="D576">
            <v>2640</v>
          </cell>
        </row>
        <row r="577">
          <cell r="B577">
            <v>2011</v>
          </cell>
          <cell r="C577" t="str">
            <v>QUESO PERA COLANTA X45G X6U</v>
          </cell>
          <cell r="D577">
            <v>15510</v>
          </cell>
        </row>
        <row r="578">
          <cell r="B578">
            <v>2012</v>
          </cell>
          <cell r="C578" t="str">
            <v>QUESO MOZZARELLA DE BUFALA COLANTA X450G</v>
          </cell>
          <cell r="D578">
            <v>18240</v>
          </cell>
        </row>
        <row r="579">
          <cell r="B579">
            <v>2013</v>
          </cell>
          <cell r="C579" t="str">
            <v>QUESO MOZZARELLA DE BUFALA COLANTA X250G</v>
          </cell>
          <cell r="D579">
            <v>10550</v>
          </cell>
        </row>
        <row r="580">
          <cell r="B580">
            <v>2015</v>
          </cell>
          <cell r="C580" t="str">
            <v>QUESILLO COLANTA X450G</v>
          </cell>
          <cell r="D580">
            <v>15520</v>
          </cell>
        </row>
        <row r="581">
          <cell r="B581">
            <v>2020</v>
          </cell>
          <cell r="C581" t="str">
            <v>QUESILLO COLANTA X250G</v>
          </cell>
          <cell r="D581">
            <v>8790</v>
          </cell>
        </row>
        <row r="582">
          <cell r="B582">
            <v>2024</v>
          </cell>
          <cell r="C582" t="str">
            <v>QUESILLO DE SEGUNDA COLANTA X1KG</v>
          </cell>
          <cell r="D582">
            <v>15270</v>
          </cell>
        </row>
        <row r="583">
          <cell r="B583">
            <v>2025</v>
          </cell>
          <cell r="C583" t="str">
            <v>QUESO MOZZARELLA COLANTA BLOQUE X2.5KG</v>
          </cell>
          <cell r="D583">
            <v>84580</v>
          </cell>
        </row>
        <row r="584">
          <cell r="B584">
            <v>2027</v>
          </cell>
          <cell r="C584" t="str">
            <v>QUESO MOZZARELLA COLANTA BLOQUE X1KG</v>
          </cell>
          <cell r="D584">
            <v>33820</v>
          </cell>
        </row>
        <row r="585">
          <cell r="B585">
            <v>2030</v>
          </cell>
          <cell r="C585" t="str">
            <v>QUESO MOZZARELLA COLANTA X450G</v>
          </cell>
          <cell r="D585">
            <v>16290</v>
          </cell>
        </row>
        <row r="586">
          <cell r="B586">
            <v>2035</v>
          </cell>
          <cell r="C586" t="str">
            <v>QUESO MOZZARELLA COLANTA X250G</v>
          </cell>
          <cell r="D586">
            <v>9510</v>
          </cell>
        </row>
        <row r="587">
          <cell r="B587">
            <v>2042</v>
          </cell>
          <cell r="C587" t="str">
            <v>QUESO MOZZARELLA COLANTA X1KG</v>
          </cell>
          <cell r="D587">
            <v>35490</v>
          </cell>
        </row>
        <row r="588">
          <cell r="B588">
            <v>2045</v>
          </cell>
          <cell r="C588" t="str">
            <v>QUESO MOZZARELLA CUBICADO DOMINOS X6KG</v>
          </cell>
          <cell r="D588">
            <v>180220</v>
          </cell>
        </row>
        <row r="589">
          <cell r="B589">
            <v>2046</v>
          </cell>
          <cell r="C589" t="str">
            <v>QUESO MOZZARELLA CUBICADO COLANTA +/-6KG</v>
          </cell>
          <cell r="D589">
            <v>32390</v>
          </cell>
        </row>
        <row r="590">
          <cell r="B590">
            <v>2048</v>
          </cell>
          <cell r="C590" t="str">
            <v>QUESO MOZZARELLA DE SEGUNDA COLANTA</v>
          </cell>
          <cell r="D590">
            <v>14070</v>
          </cell>
        </row>
        <row r="591">
          <cell r="B591">
            <v>2050</v>
          </cell>
          <cell r="C591" t="str">
            <v>QUESO DOBLECREMA COLANTA X2500G</v>
          </cell>
          <cell r="D591">
            <v>81340</v>
          </cell>
        </row>
        <row r="592">
          <cell r="B592">
            <v>2052</v>
          </cell>
          <cell r="C592" t="str">
            <v>QUESO DOBLECREMA COLANTA +/- 2.5KG</v>
          </cell>
          <cell r="D592">
            <v>28590</v>
          </cell>
        </row>
        <row r="593">
          <cell r="B593">
            <v>2053</v>
          </cell>
          <cell r="C593" t="str">
            <v>QUESILLO MONTEFRIO BLQ X2500G</v>
          </cell>
          <cell r="D593">
            <v>72510</v>
          </cell>
        </row>
        <row r="594">
          <cell r="B594">
            <v>2058</v>
          </cell>
          <cell r="C594" t="str">
            <v>QUESO DOBLECREMA COLANTA BQUE X500G</v>
          </cell>
          <cell r="D594">
            <v>18330</v>
          </cell>
        </row>
        <row r="595">
          <cell r="B595">
            <v>2060</v>
          </cell>
          <cell r="C595" t="str">
            <v>QUESO DOBLECREMA COLANTA X250G</v>
          </cell>
          <cell r="D595">
            <v>8910</v>
          </cell>
        </row>
        <row r="596">
          <cell r="B596">
            <v>2061</v>
          </cell>
          <cell r="C596" t="str">
            <v>QUESO DOBLECREMA COLANTA X125G</v>
          </cell>
          <cell r="D596">
            <v>4010</v>
          </cell>
        </row>
        <row r="597">
          <cell r="B597">
            <v>2062</v>
          </cell>
          <cell r="C597" t="str">
            <v>QUESO DOBLECREMA COLANTA TAJADO X250G</v>
          </cell>
          <cell r="D597">
            <v>10490</v>
          </cell>
        </row>
        <row r="598">
          <cell r="B598">
            <v>2064</v>
          </cell>
          <cell r="C598" t="str">
            <v>QUESO DOBLECREMA COLANTA TAJ X2KG TAJ17G</v>
          </cell>
          <cell r="D598">
            <v>68580</v>
          </cell>
        </row>
        <row r="599">
          <cell r="B599">
            <v>2070</v>
          </cell>
          <cell r="C599" t="str">
            <v>QUESO MOZZARELLA COLANTA TAJADO X2KG</v>
          </cell>
          <cell r="D599">
            <v>74350</v>
          </cell>
        </row>
        <row r="600">
          <cell r="B600">
            <v>2072</v>
          </cell>
          <cell r="C600" t="str">
            <v>QUESO MOZZARELLA COLANTA TAJADO X1KG</v>
          </cell>
          <cell r="D600">
            <v>37380</v>
          </cell>
        </row>
        <row r="601">
          <cell r="B601">
            <v>2073</v>
          </cell>
          <cell r="C601" t="str">
            <v>QUESO DOBLECREMA COLANTA TAJADO X125G</v>
          </cell>
          <cell r="D601">
            <v>4590</v>
          </cell>
        </row>
        <row r="602">
          <cell r="B602">
            <v>2075</v>
          </cell>
          <cell r="C602" t="str">
            <v>QUESO MOZZARELLA COLANTA TAJADO X500G</v>
          </cell>
          <cell r="D602">
            <v>19580</v>
          </cell>
        </row>
        <row r="603">
          <cell r="B603">
            <v>2080</v>
          </cell>
          <cell r="C603" t="str">
            <v>QUESO MOZZARELLA COLANTA TAJADO X250G</v>
          </cell>
          <cell r="D603">
            <v>10350</v>
          </cell>
        </row>
        <row r="604">
          <cell r="B604">
            <v>2095</v>
          </cell>
          <cell r="C604" t="str">
            <v>QUESO HILADO DE SEGUNDA COLANTA</v>
          </cell>
          <cell r="D604">
            <v>24810</v>
          </cell>
        </row>
        <row r="605">
          <cell r="B605">
            <v>2097</v>
          </cell>
          <cell r="C605" t="str">
            <v>QUESO DOBLECREMA COLANTA X1KG</v>
          </cell>
          <cell r="D605">
            <v>33920</v>
          </cell>
        </row>
        <row r="606">
          <cell r="B606">
            <v>2101</v>
          </cell>
          <cell r="C606" t="str">
            <v>QUESO MOZZAR BUFALA FHIERB COLANTA X250G</v>
          </cell>
          <cell r="D606">
            <v>10770</v>
          </cell>
        </row>
        <row r="607">
          <cell r="B607">
            <v>2104</v>
          </cell>
          <cell r="C607" t="str">
            <v>QUESO DOBLECREMA COLANTA BQUE 2KG TAJ20G</v>
          </cell>
          <cell r="D607">
            <v>66050</v>
          </cell>
        </row>
        <row r="608">
          <cell r="B608">
            <v>2106</v>
          </cell>
          <cell r="C608" t="str">
            <v>QUESILLO TAJADO MONTEFRIO X2500G</v>
          </cell>
          <cell r="D608">
            <v>76310</v>
          </cell>
        </row>
        <row r="609">
          <cell r="B609">
            <v>2107</v>
          </cell>
          <cell r="C609" t="str">
            <v>QUESILLO TAJADO MONTEFRIO X250G</v>
          </cell>
          <cell r="D609">
            <v>8940</v>
          </cell>
        </row>
        <row r="610">
          <cell r="B610">
            <v>2108</v>
          </cell>
          <cell r="C610" t="str">
            <v>QUESILLO TAJADO MONTEFRIO X125G</v>
          </cell>
          <cell r="D610">
            <v>4890</v>
          </cell>
        </row>
        <row r="611">
          <cell r="B611">
            <v>2120</v>
          </cell>
          <cell r="C611" t="str">
            <v>QUESO DOBLE CREMA MONTEFRIO BLOQUE 2500G</v>
          </cell>
          <cell r="D611">
            <v>64770</v>
          </cell>
        </row>
        <row r="612">
          <cell r="B612">
            <v>2126</v>
          </cell>
          <cell r="C612" t="str">
            <v>QUESO DOBLE CREMA MONTEFRIO TAJADO 250G</v>
          </cell>
          <cell r="D612">
            <v>7970</v>
          </cell>
        </row>
        <row r="613">
          <cell r="B613">
            <v>2127</v>
          </cell>
          <cell r="C613" t="str">
            <v>QUESO DOBLE CREMA MONTEFRIO TAJADO 2K</v>
          </cell>
          <cell r="D613">
            <v>61740</v>
          </cell>
        </row>
        <row r="614">
          <cell r="B614">
            <v>2128</v>
          </cell>
          <cell r="C614" t="str">
            <v>QRELLENO CON BOCADILLO COLANTA 60G</v>
          </cell>
          <cell r="D614">
            <v>2780</v>
          </cell>
        </row>
        <row r="615">
          <cell r="B615">
            <v>2129</v>
          </cell>
          <cell r="C615" t="str">
            <v>QRELLENO CON BOCADILLO COLANTA 60Gx6U</v>
          </cell>
          <cell r="D615">
            <v>16700</v>
          </cell>
        </row>
        <row r="616">
          <cell r="B616">
            <v>2130</v>
          </cell>
          <cell r="C616" t="str">
            <v>SNACK QUESO MOZZARELLAX 6 UNDADE X180GRS</v>
          </cell>
          <cell r="D616">
            <v>11030</v>
          </cell>
        </row>
        <row r="617">
          <cell r="B617">
            <v>2131</v>
          </cell>
          <cell r="C617" t="str">
            <v>SNACK QUESO MOZZARELLA X 30G</v>
          </cell>
          <cell r="D617">
            <v>1860</v>
          </cell>
        </row>
        <row r="618">
          <cell r="B618">
            <v>2503</v>
          </cell>
          <cell r="C618" t="str">
            <v>QUESO CREMA COLANTA X150G</v>
          </cell>
          <cell r="D618">
            <v>3680</v>
          </cell>
        </row>
        <row r="619">
          <cell r="B619">
            <v>2504</v>
          </cell>
          <cell r="C619" t="str">
            <v>QUESO CREMA COLANTA A GRANEL X1K</v>
          </cell>
          <cell r="D619">
            <v>19220</v>
          </cell>
        </row>
        <row r="620">
          <cell r="B620">
            <v>2505</v>
          </cell>
          <cell r="C620" t="str">
            <v>QUESO CREMA COLANTA CAJA X4KG</v>
          </cell>
          <cell r="D620">
            <v>78990</v>
          </cell>
        </row>
        <row r="621">
          <cell r="B621">
            <v>2507</v>
          </cell>
          <cell r="C621" t="str">
            <v>QUESO CREMA X1600G</v>
          </cell>
          <cell r="D621">
            <v>31610</v>
          </cell>
        </row>
        <row r="622">
          <cell r="B622">
            <v>2508</v>
          </cell>
          <cell r="C622" t="str">
            <v>QUESO CREMA TOCINETA X 150G</v>
          </cell>
          <cell r="D622">
            <v>4350</v>
          </cell>
        </row>
        <row r="623">
          <cell r="B623">
            <v>2515</v>
          </cell>
          <cell r="C623" t="str">
            <v>QUESO CREMA COLANTA X400G</v>
          </cell>
          <cell r="D623">
            <v>8940</v>
          </cell>
        </row>
        <row r="624">
          <cell r="B624">
            <v>2520</v>
          </cell>
          <cell r="C624" t="str">
            <v>QUESO CREMA COLANTA X230G</v>
          </cell>
          <cell r="D624">
            <v>5340</v>
          </cell>
        </row>
        <row r="625">
          <cell r="B625">
            <v>2527</v>
          </cell>
          <cell r="C625" t="str">
            <v>QUESO CREMA COLANTA X40G</v>
          </cell>
          <cell r="D625">
            <v>1220</v>
          </cell>
        </row>
        <row r="626">
          <cell r="B626">
            <v>2529</v>
          </cell>
          <cell r="C626" t="str">
            <v>QUESO CREMA SLIGHT COLANTA X230G</v>
          </cell>
          <cell r="D626">
            <v>6620</v>
          </cell>
        </row>
        <row r="627">
          <cell r="B627">
            <v>2530</v>
          </cell>
          <cell r="C627" t="str">
            <v>QUESO CREMA COLANTA X15G X30U</v>
          </cell>
          <cell r="D627">
            <v>15460</v>
          </cell>
        </row>
        <row r="628">
          <cell r="B628">
            <v>2535</v>
          </cell>
          <cell r="C628" t="str">
            <v>QUESO CREMA CHIPOTLE COLANTA X150G</v>
          </cell>
          <cell r="D628">
            <v>4080</v>
          </cell>
        </row>
        <row r="629">
          <cell r="B629">
            <v>2583</v>
          </cell>
          <cell r="C629" t="str">
            <v>3 QCREMA 150 GRATIS 2 SALCHICHON CERV 50</v>
          </cell>
          <cell r="D629">
            <v>11030</v>
          </cell>
        </row>
        <row r="630">
          <cell r="B630">
            <v>2588</v>
          </cell>
          <cell r="C630" t="str">
            <v>3Q CREMA X 150G GRATIS 3 Q CREMA DUOX30G</v>
          </cell>
          <cell r="D630">
            <v>11030</v>
          </cell>
        </row>
        <row r="631">
          <cell r="B631">
            <v>3580</v>
          </cell>
          <cell r="C631" t="str">
            <v>CREMA AGRIA COLANTA A GRANEL X4KG</v>
          </cell>
          <cell r="D631">
            <v>69630</v>
          </cell>
        </row>
        <row r="632">
          <cell r="B632">
            <v>3585</v>
          </cell>
          <cell r="C632" t="str">
            <v>CREMA AGRIA COLANTA X400G</v>
          </cell>
          <cell r="D632">
            <v>8975</v>
          </cell>
        </row>
        <row r="633">
          <cell r="B633">
            <v>3587</v>
          </cell>
          <cell r="C633" t="str">
            <v>SUERO COSTEÑO COLANTA DOYPACK  X 200G</v>
          </cell>
          <cell r="D633">
            <v>3471</v>
          </cell>
        </row>
        <row r="634">
          <cell r="B634">
            <v>3588</v>
          </cell>
          <cell r="C634" t="str">
            <v>SUERO COSTEÑO ATOYABUEYX230G COLANTA</v>
          </cell>
          <cell r="D634">
            <v>5218</v>
          </cell>
        </row>
        <row r="635">
          <cell r="B635">
            <v>3589</v>
          </cell>
          <cell r="C635" t="str">
            <v>CREMA AGRIA COLANTA X200G</v>
          </cell>
          <cell r="D635">
            <v>5042</v>
          </cell>
        </row>
        <row r="636">
          <cell r="B636" t="str">
            <v>406J</v>
          </cell>
          <cell r="C636" t="str">
            <v>QUESILLO TAJADO DEL ORIENTE X125G</v>
          </cell>
          <cell r="D636">
            <v>4290</v>
          </cell>
        </row>
        <row r="637">
          <cell r="B637" t="str">
            <v>406K</v>
          </cell>
          <cell r="C637" t="str">
            <v>QUESILLO TAJADO DEL ORIENTE X250G</v>
          </cell>
          <cell r="D637">
            <v>7350</v>
          </cell>
        </row>
        <row r="638">
          <cell r="B638" t="str">
            <v>406L</v>
          </cell>
          <cell r="C638" t="str">
            <v>QUESILLO TAJADO DEL ORIENTE X500G</v>
          </cell>
          <cell r="D638">
            <v>15360</v>
          </cell>
        </row>
        <row r="639">
          <cell r="B639" t="str">
            <v>406M</v>
          </cell>
          <cell r="C639" t="str">
            <v>QUESILLO TAJADO DEL ORIENTE X2500G</v>
          </cell>
          <cell r="D639">
            <v>71430</v>
          </cell>
        </row>
        <row r="640">
          <cell r="B640" t="str">
            <v>406N</v>
          </cell>
          <cell r="C640" t="str">
            <v>QUESILLO ENTERO DEL ORIENTE X370G</v>
          </cell>
          <cell r="D640">
            <v>9870</v>
          </cell>
        </row>
        <row r="641">
          <cell r="B641" t="str">
            <v>406O</v>
          </cell>
          <cell r="C641" t="str">
            <v>QUESILLO ENTERO DEL ORIENTE X500G</v>
          </cell>
          <cell r="D641">
            <v>14180</v>
          </cell>
        </row>
        <row r="642">
          <cell r="B642" t="str">
            <v>406P</v>
          </cell>
          <cell r="C642" t="str">
            <v>QUESILLO ENTERO DEL ORIENTE X2500G</v>
          </cell>
          <cell r="D642">
            <v>69990</v>
          </cell>
        </row>
        <row r="643">
          <cell r="B643" t="str">
            <v>473H</v>
          </cell>
          <cell r="C643" t="str">
            <v>QUESILLO ENTERO DEL ORIENTE REDONDO 280G</v>
          </cell>
          <cell r="D643">
            <v>8050</v>
          </cell>
        </row>
        <row r="644">
          <cell r="B644" t="str">
            <v>571Z</v>
          </cell>
          <cell r="C644" t="str">
            <v>SUERO COSTEÑO DEL ORIENTE DOYPACK X 200G</v>
          </cell>
          <cell r="D644">
            <v>3084</v>
          </cell>
        </row>
        <row r="645">
          <cell r="B645">
            <v>9976</v>
          </cell>
          <cell r="C645" t="str">
            <v>COMBO TENTACION COLANTA</v>
          </cell>
          <cell r="D645">
            <v>21378</v>
          </cell>
        </row>
        <row r="646">
          <cell r="B646">
            <v>1000477</v>
          </cell>
          <cell r="C646" t="str">
            <v>FRESCOLANTA UHT FRESA SLIM X200ML</v>
          </cell>
          <cell r="D646">
            <v>0</v>
          </cell>
        </row>
        <row r="647">
          <cell r="B647">
            <v>1007</v>
          </cell>
          <cell r="C647" t="str">
            <v>FRESCOLANTA UHT SURT BOL X200ML X6U</v>
          </cell>
          <cell r="D647">
            <v>7580</v>
          </cell>
        </row>
        <row r="648">
          <cell r="B648">
            <v>1008</v>
          </cell>
          <cell r="C648" t="str">
            <v>FRESCOLANTA UHT CHOC BOL X200ML</v>
          </cell>
          <cell r="D648">
            <v>1319</v>
          </cell>
        </row>
        <row r="649">
          <cell r="B649">
            <v>1009</v>
          </cell>
          <cell r="C649" t="str">
            <v>FRESCOLANTA UHT FRESA BOL X200ML</v>
          </cell>
          <cell r="D649">
            <v>1319</v>
          </cell>
        </row>
        <row r="650">
          <cell r="B650">
            <v>1010</v>
          </cell>
          <cell r="C650" t="str">
            <v>FRESCOLANTA UHT VLLA BOL X200ML</v>
          </cell>
          <cell r="D650">
            <v>1319</v>
          </cell>
        </row>
        <row r="651">
          <cell r="B651">
            <v>1049</v>
          </cell>
          <cell r="C651" t="str">
            <v>FRESCOLANTA UHT SURT SLIM X200ML X6U</v>
          </cell>
          <cell r="D651">
            <v>10782</v>
          </cell>
        </row>
        <row r="652">
          <cell r="B652">
            <v>1050</v>
          </cell>
          <cell r="C652" t="str">
            <v>FRESCOLANTA UHT CHOC SLIM X200ML</v>
          </cell>
          <cell r="D652">
            <v>1924</v>
          </cell>
        </row>
        <row r="653">
          <cell r="B653">
            <v>1051</v>
          </cell>
          <cell r="C653" t="str">
            <v>FRESCOLANTA UHT FRESA SLIM X200ML</v>
          </cell>
          <cell r="D653">
            <v>1924</v>
          </cell>
        </row>
        <row r="654">
          <cell r="B654">
            <v>1052</v>
          </cell>
          <cell r="C654" t="str">
            <v>FRESCOLANTA UHT VLLA SLIM X200ML</v>
          </cell>
          <cell r="D654">
            <v>1924</v>
          </cell>
        </row>
        <row r="655">
          <cell r="B655">
            <v>1056</v>
          </cell>
          <cell r="C655" t="str">
            <v>FRESCOLANTA UHT SURT SLIM X200ML X24U</v>
          </cell>
          <cell r="D655">
            <v>45185</v>
          </cell>
        </row>
        <row r="656">
          <cell r="B656">
            <v>1057</v>
          </cell>
          <cell r="C656" t="str">
            <v>FRESCOLANTA CHOCOLATE UHT SLIM 5X6</v>
          </cell>
          <cell r="D656">
            <v>9613</v>
          </cell>
        </row>
        <row r="657">
          <cell r="B657">
            <v>1060</v>
          </cell>
          <cell r="C657" t="str">
            <v>FRESCOLANTA UHT SURT SLIM X200ML X3U</v>
          </cell>
          <cell r="D657">
            <v>5529</v>
          </cell>
        </row>
        <row r="658">
          <cell r="B658">
            <v>1063</v>
          </cell>
          <cell r="C658" t="str">
            <v>AVENA UHT COLANTA BOL X200ML X6U</v>
          </cell>
          <cell r="D658">
            <v>1779</v>
          </cell>
        </row>
        <row r="659">
          <cell r="B659">
            <v>1064</v>
          </cell>
          <cell r="C659" t="str">
            <v>AVENA UHT COLANTA BOL X200ML</v>
          </cell>
          <cell r="D659">
            <v>1466</v>
          </cell>
        </row>
        <row r="660">
          <cell r="B660">
            <v>1065</v>
          </cell>
          <cell r="C660" t="str">
            <v>AVENA UHT COLANTA SLIM X200ML X6U</v>
          </cell>
          <cell r="D660">
            <v>9518</v>
          </cell>
        </row>
        <row r="661">
          <cell r="B661">
            <v>1066</v>
          </cell>
          <cell r="C661" t="str">
            <v>AVENA COLANTA UHT CANELA SLIM X200ML</v>
          </cell>
          <cell r="D661">
            <v>1710</v>
          </cell>
        </row>
        <row r="662">
          <cell r="B662">
            <v>1104</v>
          </cell>
          <cell r="C662" t="str">
            <v>FRESCOLANTA UHT CHOC SLIM X200ML X6U</v>
          </cell>
          <cell r="D662">
            <v>10782</v>
          </cell>
        </row>
        <row r="663">
          <cell r="B663">
            <v>1105</v>
          </cell>
          <cell r="C663" t="str">
            <v>FRESCOLANTA UHT CHOC BOL X200ML X6U</v>
          </cell>
          <cell r="D663">
            <v>7580</v>
          </cell>
        </row>
        <row r="664">
          <cell r="B664">
            <v>1129</v>
          </cell>
          <cell r="C664" t="str">
            <v>AVENA NATURAL UHT BOLSA X 200ML PAE</v>
          </cell>
          <cell r="D664">
            <v>743</v>
          </cell>
        </row>
        <row r="665">
          <cell r="B665">
            <v>1135</v>
          </cell>
          <cell r="C665" t="str">
            <v>AVENA NATUR UHT COLANTA BOL X200ML</v>
          </cell>
          <cell r="D665">
            <v>1466</v>
          </cell>
        </row>
        <row r="666">
          <cell r="B666">
            <v>1136</v>
          </cell>
          <cell r="C666" t="str">
            <v>AVENA NATUR UHT COLANTA BOL X200ML X6U</v>
          </cell>
          <cell r="D666">
            <v>1779</v>
          </cell>
        </row>
        <row r="667">
          <cell r="B667">
            <v>1137</v>
          </cell>
          <cell r="C667" t="str">
            <v>AVENA NATUR UHT COLANTA SLIM X200ML</v>
          </cell>
          <cell r="D667">
            <v>1710</v>
          </cell>
        </row>
        <row r="668">
          <cell r="B668">
            <v>1138</v>
          </cell>
          <cell r="C668" t="str">
            <v>AVENA NATUR UHT COLANTA SLIM X200ML X6U</v>
          </cell>
          <cell r="D668">
            <v>9518</v>
          </cell>
        </row>
        <row r="669">
          <cell r="B669">
            <v>1142</v>
          </cell>
          <cell r="C669" t="str">
            <v>AVENA NATUR UHT COLANTA EDGE X1000ML</v>
          </cell>
          <cell r="D669">
            <v>5767</v>
          </cell>
        </row>
        <row r="670">
          <cell r="B670">
            <v>1143</v>
          </cell>
          <cell r="C670" t="str">
            <v>AVENA NATUR UHT COLANTA BOL X1100ML</v>
          </cell>
          <cell r="D670">
            <v>5168</v>
          </cell>
        </row>
        <row r="671">
          <cell r="B671">
            <v>1147</v>
          </cell>
          <cell r="C671" t="str">
            <v>OATMEAL DRINK NATURAL SLIM X200ML</v>
          </cell>
          <cell r="D671">
            <v>40</v>
          </cell>
        </row>
        <row r="672">
          <cell r="B672">
            <v>4232</v>
          </cell>
          <cell r="C672" t="str">
            <v>LECHE UHT SABOR VAINILLA PAE 200ML</v>
          </cell>
          <cell r="D672">
            <v>0</v>
          </cell>
        </row>
        <row r="673">
          <cell r="B673" t="str">
            <v>0909</v>
          </cell>
          <cell r="C673" t="str">
            <v>CREMA DE LECHE UHT BOLSA COLANTA X 870G</v>
          </cell>
          <cell r="D673">
            <v>17340</v>
          </cell>
        </row>
        <row r="674">
          <cell r="B674" t="str">
            <v>0910</v>
          </cell>
          <cell r="C674" t="str">
            <v>CREMA DE LECHE UHT BOLSA COLANTA X 175G</v>
          </cell>
          <cell r="D674">
            <v>3520</v>
          </cell>
        </row>
        <row r="675">
          <cell r="B675" t="str">
            <v>0911</v>
          </cell>
          <cell r="C675" t="str">
            <v>CREMA DE LECHE PASTEURIZ COLANTA  X9700G</v>
          </cell>
          <cell r="D675">
            <v>173230</v>
          </cell>
        </row>
        <row r="676">
          <cell r="B676" t="str">
            <v>0912</v>
          </cell>
          <cell r="C676" t="str">
            <v>CREMA DE LECHE PASTEURIZ COLANTA X4800G</v>
          </cell>
          <cell r="D676">
            <v>95060</v>
          </cell>
        </row>
        <row r="677">
          <cell r="B677" t="str">
            <v>0913</v>
          </cell>
          <cell r="C677" t="str">
            <v>CREMA DE LECHE PASTEURIZ COLANTAX970G</v>
          </cell>
          <cell r="D677">
            <v>25260</v>
          </cell>
        </row>
        <row r="678">
          <cell r="B678" t="str">
            <v>0919</v>
          </cell>
          <cell r="C678" t="str">
            <v>CREMA LECHE UHT COLANTA BOL X870G X12U</v>
          </cell>
          <cell r="D678">
            <v>197750</v>
          </cell>
        </row>
        <row r="679">
          <cell r="B679">
            <v>3003</v>
          </cell>
          <cell r="C679" t="str">
            <v>MANTEQUILLA COLANTA X10KG</v>
          </cell>
          <cell r="D679">
            <v>373025</v>
          </cell>
        </row>
        <row r="680">
          <cell r="B680">
            <v>3005</v>
          </cell>
          <cell r="C680" t="str">
            <v>MANTEQUILLA COLANTA X25KG</v>
          </cell>
          <cell r="D680">
            <v>917042</v>
          </cell>
        </row>
        <row r="681">
          <cell r="B681">
            <v>3008</v>
          </cell>
          <cell r="C681" t="str">
            <v>MANTEQUILLA COLANTA +/- 10KG</v>
          </cell>
          <cell r="D681">
            <v>37378</v>
          </cell>
        </row>
        <row r="682">
          <cell r="B682">
            <v>3009</v>
          </cell>
          <cell r="C682" t="str">
            <v>MANTEQUILLA COLANTA GRANEL +/- 25 KG</v>
          </cell>
          <cell r="D682">
            <v>36765</v>
          </cell>
        </row>
        <row r="683">
          <cell r="B683">
            <v>3012</v>
          </cell>
          <cell r="C683" t="str">
            <v>MANTEQUILLA CON SAL X500G EXPORT</v>
          </cell>
          <cell r="D683">
            <v>6140</v>
          </cell>
        </row>
        <row r="684">
          <cell r="B684">
            <v>3015</v>
          </cell>
          <cell r="C684" t="str">
            <v>MANTEQUILLA COLANTA X500G</v>
          </cell>
          <cell r="D684">
            <v>21244</v>
          </cell>
        </row>
        <row r="685">
          <cell r="B685">
            <v>3023</v>
          </cell>
          <cell r="C685" t="str">
            <v>MANTEQUILLA CON SAL X250G</v>
          </cell>
          <cell r="D685">
            <v>10773</v>
          </cell>
        </row>
        <row r="686">
          <cell r="B686">
            <v>3024</v>
          </cell>
          <cell r="C686" t="str">
            <v>MANTEQUILLA CON SAL X125G</v>
          </cell>
          <cell r="D686">
            <v>5681</v>
          </cell>
        </row>
        <row r="687">
          <cell r="B687">
            <v>3025</v>
          </cell>
          <cell r="C687" t="str">
            <v>MANTEQUILLA COLANTA X250G</v>
          </cell>
          <cell r="D687">
            <v>10773</v>
          </cell>
        </row>
        <row r="688">
          <cell r="B688">
            <v>3026</v>
          </cell>
          <cell r="C688" t="str">
            <v>MANTEQUILLA COLANTA EN BARRA X125G</v>
          </cell>
          <cell r="D688">
            <v>5681</v>
          </cell>
        </row>
        <row r="689">
          <cell r="B689">
            <v>3028</v>
          </cell>
          <cell r="C689" t="str">
            <v>MANTEQUILLA COLANTA X250G X2U</v>
          </cell>
          <cell r="D689">
            <v>10118</v>
          </cell>
        </row>
        <row r="690">
          <cell r="B690">
            <v>3032</v>
          </cell>
          <cell r="C690" t="str">
            <v>MANTEQUILLA COLANTA UNIPERSONAL X10G 30U</v>
          </cell>
          <cell r="D690">
            <v>13202</v>
          </cell>
        </row>
        <row r="691">
          <cell r="B691">
            <v>3037</v>
          </cell>
          <cell r="C691" t="str">
            <v>MANTEQUILLA COLANTA X250G X3U</v>
          </cell>
          <cell r="D691">
            <v>31336</v>
          </cell>
        </row>
        <row r="692">
          <cell r="B692">
            <v>3093</v>
          </cell>
          <cell r="C692" t="str">
            <v>MANTEQUILLA TIPO R X10KG</v>
          </cell>
          <cell r="D692">
            <v>282176</v>
          </cell>
        </row>
        <row r="693">
          <cell r="B693">
            <v>3094</v>
          </cell>
          <cell r="C693" t="str">
            <v>MANTEQUILLA TIPO R X25KG</v>
          </cell>
          <cell r="D693">
            <v>705277</v>
          </cell>
        </row>
        <row r="694">
          <cell r="B694">
            <v>3095</v>
          </cell>
          <cell r="C694" t="str">
            <v>MANTEQUILLA DE SEGUNDA</v>
          </cell>
          <cell r="D694">
            <v>19109</v>
          </cell>
        </row>
        <row r="695">
          <cell r="B695">
            <v>3504</v>
          </cell>
          <cell r="C695" t="str">
            <v>CREMA LECHE PAST COLANTA X5L</v>
          </cell>
          <cell r="D695">
            <v>95060</v>
          </cell>
        </row>
        <row r="696">
          <cell r="B696">
            <v>3505</v>
          </cell>
          <cell r="C696" t="str">
            <v>CREMA LECHE PAST COLANTA X10L</v>
          </cell>
          <cell r="D696">
            <v>173230</v>
          </cell>
        </row>
        <row r="697">
          <cell r="B697">
            <v>3506</v>
          </cell>
          <cell r="C697" t="str">
            <v>CREMA LECHE PAST COLANTA BALDE X1L</v>
          </cell>
          <cell r="D697">
            <v>25260</v>
          </cell>
        </row>
        <row r="698">
          <cell r="B698">
            <v>3510</v>
          </cell>
          <cell r="C698" t="str">
            <v>CREMA LECHE PAST COLANTA A GRANEL</v>
          </cell>
          <cell r="D698">
            <v>7980</v>
          </cell>
        </row>
        <row r="699">
          <cell r="B699">
            <v>3527</v>
          </cell>
          <cell r="C699" t="str">
            <v>CREMA LECHE UHT COLANTA SLIM X200ML</v>
          </cell>
          <cell r="D699">
            <v>5150</v>
          </cell>
        </row>
        <row r="700">
          <cell r="B700">
            <v>3529</v>
          </cell>
          <cell r="C700" t="str">
            <v>CREMA LECHE UHT COLANTA SLIM X200ML X3U</v>
          </cell>
          <cell r="D700">
            <v>14910</v>
          </cell>
        </row>
        <row r="701">
          <cell r="B701">
            <v>3540</v>
          </cell>
          <cell r="C701" t="str">
            <v>CREMA LECHE PAST COLANTA VIDRIO X225G</v>
          </cell>
          <cell r="D701">
            <v>9980</v>
          </cell>
        </row>
        <row r="702">
          <cell r="B702">
            <v>3544</v>
          </cell>
          <cell r="C702" t="str">
            <v>CREMA LECHE UHT COLANTA BOL X900ML</v>
          </cell>
          <cell r="D702">
            <v>17340</v>
          </cell>
        </row>
        <row r="703">
          <cell r="B703">
            <v>3545</v>
          </cell>
          <cell r="C703" t="str">
            <v>CREMA LECHE UHT COLANTA BOL X180G</v>
          </cell>
          <cell r="D703">
            <v>3520</v>
          </cell>
        </row>
        <row r="704">
          <cell r="B704">
            <v>3548</v>
          </cell>
          <cell r="C704" t="str">
            <v>CREMA LECHE PAST SEMIENTERA COL 4800G</v>
          </cell>
          <cell r="D704">
            <v>86260</v>
          </cell>
        </row>
        <row r="705">
          <cell r="B705">
            <v>3549</v>
          </cell>
          <cell r="C705" t="str">
            <v>CREMA LECHE PAST SEMIENTERA COL 9700G</v>
          </cell>
          <cell r="D705">
            <v>157200</v>
          </cell>
        </row>
        <row r="706">
          <cell r="B706">
            <v>3550</v>
          </cell>
          <cell r="C706" t="str">
            <v>CREMA LECHE PAST SEMIENTE COL BALDE 970G</v>
          </cell>
          <cell r="D706">
            <v>22920</v>
          </cell>
        </row>
        <row r="707">
          <cell r="B707">
            <v>3551</v>
          </cell>
          <cell r="C707" t="str">
            <v>CREMA LECHE UHT SEMIENTE COL BOLSA 870G</v>
          </cell>
          <cell r="D707">
            <v>15730</v>
          </cell>
        </row>
        <row r="708">
          <cell r="B708">
            <v>3552</v>
          </cell>
          <cell r="C708" t="str">
            <v>CREMA LECHE UHT SEMIENTE COL BOL 870GX12</v>
          </cell>
          <cell r="D708">
            <v>179430</v>
          </cell>
        </row>
        <row r="709">
          <cell r="B709">
            <v>3553</v>
          </cell>
          <cell r="C709" t="str">
            <v>CREMA LECHE UHT SEMIENTERA COL BOL 175G</v>
          </cell>
          <cell r="D709">
            <v>3200</v>
          </cell>
        </row>
        <row r="710">
          <cell r="B710">
            <v>3590</v>
          </cell>
          <cell r="C710" t="str">
            <v>CREMA LECHE CRUDA COLANTA X1L</v>
          </cell>
          <cell r="D710">
            <v>10090</v>
          </cell>
        </row>
        <row r="711">
          <cell r="B711">
            <v>3595</v>
          </cell>
          <cell r="C711" t="str">
            <v>CREMA LECHE DE SEGUNDA COLANTA</v>
          </cell>
          <cell r="D711">
            <v>10330</v>
          </cell>
        </row>
        <row r="712">
          <cell r="B712">
            <v>3596</v>
          </cell>
          <cell r="C712" t="str">
            <v>BASE CREMA CHANTILLY UHT POPSY X 500G</v>
          </cell>
          <cell r="D712">
            <v>0</v>
          </cell>
        </row>
        <row r="713">
          <cell r="B713">
            <v>3597</v>
          </cell>
          <cell r="C713" t="str">
            <v>BASE CREMA CHANTILLY CRUDA POPSY X 1000G</v>
          </cell>
          <cell r="D713">
            <v>0</v>
          </cell>
        </row>
        <row r="714">
          <cell r="B714">
            <v>2125</v>
          </cell>
          <cell r="C714" t="str">
            <v>QUESO FUNDIDO AMERICANO TAJADO 250G</v>
          </cell>
          <cell r="D714">
            <v>5870</v>
          </cell>
        </row>
        <row r="715">
          <cell r="B715" t="str">
            <v>0805</v>
          </cell>
          <cell r="C715" t="str">
            <v>SUERO EN POLVO COLANTA X 25 KG</v>
          </cell>
          <cell r="D715">
            <v>171504</v>
          </cell>
        </row>
      </sheetData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45"/>
  <sheetViews>
    <sheetView showFormulas="false" showGridLines="true" showRowColHeaders="true" showZeros="true" rightToLeft="false" tabSelected="false" showOutlineSymbols="true" defaultGridColor="true" view="normal" topLeftCell="A64" colorId="64" zoomScale="110" zoomScaleNormal="110" zoomScalePageLayoutView="100" workbookViewId="0">
      <selection pane="topLeft" activeCell="K74" activeCellId="0" sqref="K74"/>
    </sheetView>
  </sheetViews>
  <sheetFormatPr defaultColWidth="11.1484375" defaultRowHeight="15" zeroHeight="false" outlineLevelRow="0" outlineLevelCol="0"/>
  <cols>
    <col collapsed="false" customWidth="true" hidden="false" outlineLevel="0" max="1" min="1" style="1" width="8.15"/>
    <col collapsed="false" customWidth="true" hidden="false" outlineLevel="0" max="2" min="2" style="2" width="36.86"/>
    <col collapsed="false" customWidth="true" hidden="false" outlineLevel="0" max="3" min="3" style="3" width="9.14"/>
    <col collapsed="false" customWidth="true" hidden="true" outlineLevel="0" max="4" min="4" style="3" width="14.86"/>
    <col collapsed="false" customWidth="true" hidden="false" outlineLevel="0" max="5" min="5" style="4" width="14.86"/>
    <col collapsed="false" customWidth="true" hidden="false" outlineLevel="0" max="6" min="6" style="3" width="9.14"/>
  </cols>
  <sheetData>
    <row r="3" customFormat="false" ht="15.75" hidden="false" customHeight="false" outlineLevel="0" collapsed="false">
      <c r="A3" s="5" t="s">
        <v>0</v>
      </c>
      <c r="B3" s="5"/>
      <c r="C3" s="5"/>
      <c r="D3" s="5"/>
      <c r="E3" s="5"/>
      <c r="F3" s="5"/>
    </row>
    <row r="4" customFormat="false" ht="18.75" hidden="false" customHeight="false" outlineLevel="0" collapsed="false">
      <c r="B4" s="6" t="s">
        <v>1</v>
      </c>
      <c r="C4" s="6"/>
      <c r="D4" s="6"/>
      <c r="E4" s="6"/>
      <c r="F4" s="6"/>
    </row>
    <row r="5" customFormat="false" ht="15" hidden="false" customHeight="false" outlineLevel="0" collapsed="false">
      <c r="B5" s="7" t="s">
        <v>2</v>
      </c>
      <c r="C5" s="7"/>
      <c r="D5" s="7"/>
      <c r="E5" s="7"/>
      <c r="F5" s="7"/>
    </row>
    <row r="6" customFormat="false" ht="15" hidden="false" customHeight="false" outlineLevel="0" collapsed="false">
      <c r="B6" s="8" t="s">
        <v>3</v>
      </c>
      <c r="C6" s="8"/>
      <c r="D6" s="8"/>
      <c r="E6" s="8"/>
      <c r="F6" s="8"/>
    </row>
    <row r="7" customFormat="false" ht="15" hidden="false" customHeight="false" outlineLevel="0" collapsed="false">
      <c r="B7" s="8" t="s">
        <v>4</v>
      </c>
      <c r="C7" s="8"/>
      <c r="D7" s="8"/>
      <c r="E7" s="8"/>
      <c r="F7" s="8"/>
    </row>
    <row r="8" customFormat="false" ht="15" hidden="false" customHeight="false" outlineLevel="0" collapsed="false">
      <c r="B8" s="9"/>
    </row>
    <row r="9" customFormat="false" ht="15.75" hidden="false" customHeight="false" outlineLevel="0" collapsed="false">
      <c r="A9" s="10" t="s">
        <v>5</v>
      </c>
      <c r="B9" s="10"/>
      <c r="C9" s="10"/>
      <c r="D9" s="10"/>
      <c r="E9" s="10"/>
      <c r="F9" s="10"/>
    </row>
    <row r="10" customFormat="false" ht="15" hidden="false" customHeight="false" outlineLevel="0" collapsed="false">
      <c r="A10" s="11" t="s">
        <v>6</v>
      </c>
      <c r="B10" s="11"/>
      <c r="C10" s="11"/>
      <c r="D10" s="11"/>
      <c r="E10" s="12"/>
      <c r="F10" s="13"/>
    </row>
    <row r="11" customFormat="false" ht="15" hidden="false" customHeight="false" outlineLevel="0" collapsed="false">
      <c r="A11" s="14" t="s">
        <v>0</v>
      </c>
      <c r="B11" s="14"/>
      <c r="C11" s="14"/>
      <c r="D11" s="14"/>
      <c r="E11" s="14"/>
      <c r="F11" s="14"/>
    </row>
    <row r="12" customFormat="false" ht="15" hidden="false" customHeight="false" outlineLevel="0" collapsed="false">
      <c r="A12" s="15" t="s">
        <v>7</v>
      </c>
      <c r="B12" s="16" t="s">
        <v>8</v>
      </c>
      <c r="C12" s="16" t="s">
        <v>9</v>
      </c>
      <c r="D12" s="16" t="s">
        <v>10</v>
      </c>
      <c r="E12" s="17" t="s">
        <v>10</v>
      </c>
      <c r="F12" s="16" t="s">
        <v>11</v>
      </c>
    </row>
    <row r="13" customFormat="false" ht="15" hidden="false" customHeight="false" outlineLevel="0" collapsed="false">
      <c r="A13" s="18"/>
      <c r="B13" s="18"/>
      <c r="C13" s="19"/>
      <c r="D13" s="20" t="n">
        <v>479</v>
      </c>
      <c r="E13" s="21"/>
      <c r="F13" s="19"/>
    </row>
    <row r="14" customFormat="false" ht="15" hidden="false" customHeight="false" outlineLevel="0" collapsed="false">
      <c r="A14" s="18" t="s">
        <v>12</v>
      </c>
      <c r="B14" s="18" t="s">
        <v>13</v>
      </c>
      <c r="C14" s="19" t="s">
        <v>14</v>
      </c>
      <c r="D14" s="20" t="n">
        <v>1447</v>
      </c>
      <c r="E14" s="21" t="n">
        <f aca="false">SUM(D14)/1.16</f>
        <v>1247.41379310345</v>
      </c>
      <c r="F14" s="19" t="n">
        <v>16</v>
      </c>
    </row>
    <row r="15" customFormat="false" ht="15" hidden="false" customHeight="false" outlineLevel="0" collapsed="false">
      <c r="A15" s="18" t="s">
        <v>15</v>
      </c>
      <c r="B15" s="18" t="s">
        <v>16</v>
      </c>
      <c r="C15" s="19" t="s">
        <v>14</v>
      </c>
      <c r="D15" s="20" t="n">
        <v>3213</v>
      </c>
      <c r="E15" s="21" t="n">
        <f aca="false">SUM(D15)/1.16</f>
        <v>2769.8275862069</v>
      </c>
      <c r="F15" s="19" t="n">
        <v>16</v>
      </c>
    </row>
    <row r="16" customFormat="false" ht="15" hidden="false" customHeight="false" outlineLevel="0" collapsed="false">
      <c r="A16" s="18" t="s">
        <v>17</v>
      </c>
      <c r="B16" s="18" t="s">
        <v>18</v>
      </c>
      <c r="C16" s="19" t="s">
        <v>14</v>
      </c>
      <c r="D16" s="20" t="n">
        <v>16820</v>
      </c>
      <c r="E16" s="21" t="n">
        <v>8403</v>
      </c>
      <c r="F16" s="19" t="n">
        <v>16</v>
      </c>
    </row>
    <row r="17" customFormat="false" ht="15" hidden="false" customHeight="false" outlineLevel="0" collapsed="false">
      <c r="A17" s="18" t="s">
        <v>19</v>
      </c>
      <c r="B17" s="18" t="s">
        <v>20</v>
      </c>
      <c r="C17" s="19" t="s">
        <v>21</v>
      </c>
      <c r="D17" s="20" t="n">
        <v>2341</v>
      </c>
      <c r="E17" s="21" t="n">
        <f aca="false">SUM(D17)/1.16</f>
        <v>2018.10344827586</v>
      </c>
      <c r="F17" s="19" t="n">
        <v>16</v>
      </c>
    </row>
    <row r="18" customFormat="false" ht="15" hidden="false" customHeight="false" outlineLevel="0" collapsed="false">
      <c r="A18" s="18" t="s">
        <v>22</v>
      </c>
      <c r="B18" s="18" t="s">
        <v>23</v>
      </c>
      <c r="C18" s="19" t="s">
        <v>21</v>
      </c>
      <c r="D18" s="20" t="n">
        <v>2341</v>
      </c>
      <c r="E18" s="21" t="n">
        <f aca="false">SUM(D18)/1.16</f>
        <v>2018.10344827586</v>
      </c>
      <c r="F18" s="19" t="n">
        <v>16</v>
      </c>
    </row>
    <row r="19" customFormat="false" ht="15" hidden="false" customHeight="false" outlineLevel="0" collapsed="false">
      <c r="A19" s="18" t="s">
        <v>24</v>
      </c>
      <c r="B19" s="18" t="s">
        <v>25</v>
      </c>
      <c r="C19" s="19" t="s">
        <v>26</v>
      </c>
      <c r="D19" s="20" t="n">
        <v>2761</v>
      </c>
      <c r="E19" s="21" t="n">
        <v>1309</v>
      </c>
      <c r="F19" s="19" t="n">
        <v>16</v>
      </c>
    </row>
    <row r="20" customFormat="false" ht="15" hidden="false" customHeight="false" outlineLevel="0" collapsed="false">
      <c r="A20" s="18" t="s">
        <v>27</v>
      </c>
      <c r="B20" s="18" t="s">
        <v>28</v>
      </c>
      <c r="C20" s="19" t="s">
        <v>26</v>
      </c>
      <c r="D20" s="20" t="n">
        <v>1404</v>
      </c>
      <c r="E20" s="21" t="n">
        <v>2622</v>
      </c>
      <c r="F20" s="19" t="n">
        <v>16</v>
      </c>
    </row>
    <row r="21" customFormat="false" ht="15" hidden="false" customHeight="false" outlineLevel="0" collapsed="false">
      <c r="A21" s="18"/>
      <c r="B21" s="18" t="s">
        <v>29</v>
      </c>
      <c r="C21" s="19" t="s">
        <v>26</v>
      </c>
      <c r="D21" s="20" t="n">
        <v>5104</v>
      </c>
      <c r="E21" s="21" t="n">
        <v>4997</v>
      </c>
      <c r="F21" s="19" t="n">
        <v>16</v>
      </c>
    </row>
    <row r="27" customFormat="false" ht="15" hidden="false" customHeight="false" outlineLevel="0" collapsed="false">
      <c r="A27" s="22" t="s">
        <v>30</v>
      </c>
      <c r="B27" s="22"/>
      <c r="C27" s="22"/>
      <c r="D27" s="22"/>
      <c r="E27" s="23"/>
      <c r="F27" s="22"/>
    </row>
    <row r="28" customFormat="false" ht="15" hidden="false" customHeight="false" outlineLevel="0" collapsed="false">
      <c r="A28" s="15" t="s">
        <v>7</v>
      </c>
      <c r="B28" s="16" t="s">
        <v>8</v>
      </c>
      <c r="C28" s="16" t="s">
        <v>9</v>
      </c>
      <c r="D28" s="16" t="s">
        <v>31</v>
      </c>
      <c r="E28" s="17" t="s">
        <v>10</v>
      </c>
      <c r="F28" s="16" t="s">
        <v>11</v>
      </c>
    </row>
    <row r="29" customFormat="false" ht="15" hidden="false" customHeight="false" outlineLevel="0" collapsed="false">
      <c r="A29" s="18" t="s">
        <v>32</v>
      </c>
      <c r="B29" s="18" t="s">
        <v>33</v>
      </c>
      <c r="C29" s="19" t="s">
        <v>34</v>
      </c>
      <c r="D29" s="20" t="n">
        <v>1869</v>
      </c>
      <c r="E29" s="21" t="n">
        <v>1781</v>
      </c>
      <c r="F29" s="19" t="n">
        <v>10</v>
      </c>
    </row>
    <row r="30" customFormat="false" ht="15" hidden="false" customHeight="false" outlineLevel="0" collapsed="false">
      <c r="A30" s="18" t="s">
        <v>35</v>
      </c>
      <c r="B30" s="18" t="s">
        <v>36</v>
      </c>
      <c r="C30" s="19" t="s">
        <v>34</v>
      </c>
      <c r="D30" s="20" t="n">
        <v>3721</v>
      </c>
      <c r="E30" s="21" t="n">
        <v>3583</v>
      </c>
      <c r="F30" s="19" t="n">
        <v>10</v>
      </c>
    </row>
    <row r="31" customFormat="false" ht="15" hidden="false" customHeight="false" outlineLevel="0" collapsed="false">
      <c r="A31" s="18" t="s">
        <v>37</v>
      </c>
      <c r="B31" s="18" t="s">
        <v>38</v>
      </c>
      <c r="C31" s="19" t="s">
        <v>26</v>
      </c>
      <c r="D31" s="20" t="n">
        <v>7998</v>
      </c>
      <c r="E31" s="21" t="n">
        <f aca="false">SUM(D31)/1.1</f>
        <v>7270.90909090909</v>
      </c>
      <c r="F31" s="19" t="n">
        <v>10</v>
      </c>
    </row>
    <row r="32" customFormat="false" ht="15" hidden="false" customHeight="false" outlineLevel="0" collapsed="false">
      <c r="A32" s="18" t="s">
        <v>39</v>
      </c>
      <c r="B32" s="18" t="s">
        <v>40</v>
      </c>
      <c r="C32" s="19" t="s">
        <v>26</v>
      </c>
      <c r="D32" s="20" t="n">
        <v>15997</v>
      </c>
      <c r="E32" s="21" t="n">
        <f aca="false">SUM(D32)/1.1</f>
        <v>14542.7272727273</v>
      </c>
      <c r="F32" s="19" t="n">
        <v>10</v>
      </c>
    </row>
    <row r="33" customFormat="false" ht="15" hidden="false" customHeight="false" outlineLevel="0" collapsed="false">
      <c r="A33" s="18" t="s">
        <v>41</v>
      </c>
      <c r="B33" s="18" t="s">
        <v>42</v>
      </c>
      <c r="C33" s="19" t="s">
        <v>26</v>
      </c>
      <c r="D33" s="20" t="n">
        <v>7998</v>
      </c>
      <c r="E33" s="21" t="n">
        <f aca="false">SUM(D33)/1.1</f>
        <v>7270.90909090909</v>
      </c>
      <c r="F33" s="19" t="n">
        <v>10</v>
      </c>
    </row>
    <row r="34" customFormat="false" ht="15" hidden="false" customHeight="false" outlineLevel="0" collapsed="false">
      <c r="A34" s="18"/>
      <c r="B34" s="18" t="s">
        <v>43</v>
      </c>
      <c r="C34" s="19" t="s">
        <v>14</v>
      </c>
      <c r="D34" s="20" t="n">
        <v>3614</v>
      </c>
      <c r="E34" s="21" t="n">
        <v>3583</v>
      </c>
      <c r="F34" s="19" t="n">
        <v>10</v>
      </c>
    </row>
    <row r="35" customFormat="false" ht="15" hidden="false" customHeight="false" outlineLevel="0" collapsed="false">
      <c r="A35" s="18"/>
      <c r="B35" s="18" t="s">
        <v>44</v>
      </c>
      <c r="C35" s="19" t="s">
        <v>14</v>
      </c>
      <c r="D35" s="20" t="n">
        <v>3460</v>
      </c>
      <c r="E35" s="21" t="n">
        <v>3133</v>
      </c>
      <c r="F35" s="19" t="n">
        <v>10</v>
      </c>
    </row>
    <row r="36" customFormat="false" ht="15" hidden="false" customHeight="false" outlineLevel="0" collapsed="false">
      <c r="A36" s="18" t="s">
        <v>45</v>
      </c>
      <c r="B36" s="18" t="s">
        <v>46</v>
      </c>
      <c r="C36" s="19" t="s">
        <v>47</v>
      </c>
      <c r="D36" s="20" t="n">
        <v>176000</v>
      </c>
      <c r="E36" s="21" t="n">
        <v>275000</v>
      </c>
      <c r="F36" s="19" t="n">
        <v>10</v>
      </c>
    </row>
    <row r="37" customFormat="false" ht="15" hidden="false" customHeight="false" outlineLevel="0" collapsed="false">
      <c r="A37" s="18" t="s">
        <v>48</v>
      </c>
      <c r="B37" s="18" t="s">
        <v>49</v>
      </c>
      <c r="C37" s="19" t="s">
        <v>14</v>
      </c>
      <c r="D37" s="20" t="n">
        <v>2923</v>
      </c>
      <c r="E37" s="21" t="n">
        <v>2447</v>
      </c>
      <c r="F37" s="19" t="n">
        <v>10</v>
      </c>
    </row>
    <row r="38" customFormat="false" ht="15" hidden="false" customHeight="false" outlineLevel="0" collapsed="false">
      <c r="A38" s="18"/>
      <c r="B38" s="18" t="s">
        <v>50</v>
      </c>
      <c r="C38" s="19" t="s">
        <v>51</v>
      </c>
      <c r="D38" s="20" t="n">
        <v>3930</v>
      </c>
      <c r="E38" s="21"/>
      <c r="F38" s="19" t="n">
        <v>10</v>
      </c>
    </row>
    <row r="39" customFormat="false" ht="15" hidden="false" customHeight="false" outlineLevel="0" collapsed="false">
      <c r="A39" s="18" t="s">
        <v>52</v>
      </c>
      <c r="B39" s="18" t="s">
        <v>53</v>
      </c>
      <c r="C39" s="19" t="s">
        <v>54</v>
      </c>
      <c r="D39" s="20" t="n">
        <v>1877</v>
      </c>
      <c r="E39" s="21" t="n">
        <v>1783</v>
      </c>
      <c r="F39" s="19" t="n">
        <v>10</v>
      </c>
    </row>
    <row r="40" customFormat="false" ht="15" hidden="false" customHeight="false" outlineLevel="0" collapsed="false">
      <c r="A40" s="24"/>
      <c r="B40" s="18" t="s">
        <v>55</v>
      </c>
      <c r="C40" s="19" t="s">
        <v>54</v>
      </c>
      <c r="D40" s="20" t="n">
        <v>1877</v>
      </c>
      <c r="E40" s="21" t="n">
        <f aca="false">SUM(D40)/1.1</f>
        <v>1706.36363636364</v>
      </c>
      <c r="F40" s="19" t="n">
        <v>10</v>
      </c>
    </row>
    <row r="45" customFormat="false" ht="15" hidden="false" customHeight="false" outlineLevel="0" collapsed="false">
      <c r="D45" s="25"/>
    </row>
    <row r="46" customFormat="false" ht="15" hidden="false" customHeight="false" outlineLevel="0" collapsed="false">
      <c r="D46" s="25"/>
    </row>
    <row r="47" customFormat="false" ht="15" hidden="false" customHeight="false" outlineLevel="0" collapsed="false">
      <c r="D47" s="25"/>
    </row>
    <row r="48" customFormat="false" ht="15" hidden="false" customHeight="false" outlineLevel="0" collapsed="false">
      <c r="D48" s="25"/>
    </row>
    <row r="49" customFormat="false" ht="15" hidden="false" customHeight="false" outlineLevel="0" collapsed="false">
      <c r="D49" s="25"/>
    </row>
    <row r="50" customFormat="false" ht="15" hidden="false" customHeight="false" outlineLevel="0" collapsed="false">
      <c r="D50" s="25"/>
    </row>
    <row r="51" customFormat="false" ht="15" hidden="false" customHeight="false" outlineLevel="0" collapsed="false">
      <c r="D51" s="25"/>
    </row>
    <row r="52" customFormat="false" ht="18.75" hidden="false" customHeight="false" outlineLevel="0" collapsed="false">
      <c r="A52" s="26" t="s">
        <v>56</v>
      </c>
      <c r="B52" s="26"/>
      <c r="C52" s="26"/>
      <c r="D52" s="26"/>
      <c r="E52" s="26"/>
      <c r="F52" s="26"/>
    </row>
    <row r="53" customFormat="false" ht="15.75" hidden="false" customHeight="false" outlineLevel="0" collapsed="false">
      <c r="B53" s="10" t="s">
        <v>57</v>
      </c>
      <c r="C53" s="10"/>
      <c r="D53" s="10"/>
      <c r="E53" s="10"/>
      <c r="F53" s="10"/>
    </row>
    <row r="54" customFormat="false" ht="15" hidden="false" customHeight="false" outlineLevel="0" collapsed="false">
      <c r="B54" s="27" t="s">
        <v>2</v>
      </c>
      <c r="C54" s="27"/>
      <c r="D54" s="27"/>
      <c r="E54" s="27"/>
      <c r="F54" s="27"/>
    </row>
    <row r="55" customFormat="false" ht="15" hidden="false" customHeight="false" outlineLevel="0" collapsed="false">
      <c r="B55" s="8" t="s">
        <v>3</v>
      </c>
      <c r="C55" s="8"/>
      <c r="D55" s="8"/>
      <c r="E55" s="8"/>
      <c r="F55" s="8"/>
    </row>
    <row r="56" customFormat="false" ht="15" hidden="false" customHeight="false" outlineLevel="0" collapsed="false">
      <c r="B56" s="8" t="s">
        <v>4</v>
      </c>
      <c r="C56" s="8"/>
      <c r="D56" s="8"/>
      <c r="E56" s="8"/>
      <c r="F56" s="8"/>
    </row>
    <row r="57" customFormat="false" ht="15" hidden="false" customHeight="false" outlineLevel="0" collapsed="false">
      <c r="B57" s="9"/>
    </row>
    <row r="58" customFormat="false" ht="15.75" hidden="false" customHeight="false" outlineLevel="0" collapsed="false">
      <c r="A58" s="10" t="s">
        <v>5</v>
      </c>
      <c r="B58" s="10"/>
      <c r="C58" s="10"/>
      <c r="D58" s="10"/>
      <c r="E58" s="10"/>
      <c r="F58" s="10"/>
    </row>
    <row r="59" customFormat="false" ht="15" hidden="false" customHeight="false" outlineLevel="0" collapsed="false">
      <c r="A59" s="11" t="s">
        <v>6</v>
      </c>
      <c r="B59" s="11"/>
      <c r="C59" s="11"/>
      <c r="D59" s="11"/>
      <c r="E59" s="12"/>
    </row>
    <row r="60" customFormat="false" ht="15" hidden="false" customHeight="false" outlineLevel="0" collapsed="false">
      <c r="A60" s="14" t="s">
        <v>58</v>
      </c>
      <c r="B60" s="14"/>
      <c r="C60" s="14"/>
      <c r="D60" s="14"/>
      <c r="E60" s="14"/>
      <c r="F60" s="14"/>
    </row>
    <row r="61" customFormat="false" ht="15" hidden="false" customHeight="false" outlineLevel="0" collapsed="false">
      <c r="A61" s="15" t="s">
        <v>7</v>
      </c>
      <c r="B61" s="16" t="s">
        <v>8</v>
      </c>
      <c r="C61" s="16" t="s">
        <v>9</v>
      </c>
      <c r="D61" s="16" t="s">
        <v>31</v>
      </c>
      <c r="E61" s="17" t="s">
        <v>10</v>
      </c>
      <c r="F61" s="16" t="s">
        <v>11</v>
      </c>
    </row>
    <row r="62" customFormat="false" ht="15" hidden="false" customHeight="false" outlineLevel="0" collapsed="false">
      <c r="A62" s="18" t="s">
        <v>59</v>
      </c>
      <c r="B62" s="18" t="s">
        <v>60</v>
      </c>
      <c r="C62" s="19" t="s">
        <v>26</v>
      </c>
      <c r="D62" s="20" t="n">
        <v>2507</v>
      </c>
      <c r="E62" s="21" t="n">
        <v>2225</v>
      </c>
      <c r="F62" s="19" t="n">
        <v>16</v>
      </c>
    </row>
    <row r="63" customFormat="false" ht="15" hidden="false" customHeight="false" outlineLevel="0" collapsed="false">
      <c r="A63" s="18" t="s">
        <v>61</v>
      </c>
      <c r="B63" s="18" t="s">
        <v>62</v>
      </c>
      <c r="C63" s="19" t="s">
        <v>26</v>
      </c>
      <c r="D63" s="20" t="n">
        <v>4763</v>
      </c>
      <c r="E63" s="21" t="n">
        <v>4230</v>
      </c>
      <c r="F63" s="19" t="n">
        <v>16</v>
      </c>
    </row>
    <row r="64" customFormat="false" ht="15" hidden="false" customHeight="false" outlineLevel="0" collapsed="false">
      <c r="A64" s="18" t="s">
        <v>63</v>
      </c>
      <c r="B64" s="18" t="s">
        <v>64</v>
      </c>
      <c r="C64" s="19" t="s">
        <v>51</v>
      </c>
      <c r="D64" s="20" t="n">
        <v>8449</v>
      </c>
      <c r="E64" s="21" t="n">
        <v>7502</v>
      </c>
      <c r="F64" s="19" t="n">
        <v>16</v>
      </c>
    </row>
    <row r="65" customFormat="false" ht="15" hidden="false" customHeight="false" outlineLevel="0" collapsed="false">
      <c r="A65" s="18" t="s">
        <v>65</v>
      </c>
      <c r="B65" s="18" t="s">
        <v>66</v>
      </c>
      <c r="C65" s="19" t="s">
        <v>67</v>
      </c>
      <c r="D65" s="20" t="n">
        <v>2710</v>
      </c>
      <c r="E65" s="21" t="n">
        <f aca="false">SUM(D65)/1.16</f>
        <v>2336.20689655172</v>
      </c>
      <c r="F65" s="19" t="n">
        <v>16</v>
      </c>
    </row>
    <row r="66" customFormat="false" ht="15" hidden="false" customHeight="false" outlineLevel="0" collapsed="false">
      <c r="A66" s="18" t="s">
        <v>68</v>
      </c>
      <c r="B66" s="18" t="s">
        <v>69</v>
      </c>
      <c r="C66" s="19" t="s">
        <v>34</v>
      </c>
      <c r="D66" s="20" t="n">
        <v>1836</v>
      </c>
      <c r="E66" s="21" t="n">
        <v>1662</v>
      </c>
      <c r="F66" s="19" t="n">
        <v>16</v>
      </c>
    </row>
    <row r="67" customFormat="false" ht="15" hidden="false" customHeight="false" outlineLevel="0" collapsed="false">
      <c r="A67" s="18" t="s">
        <v>70</v>
      </c>
      <c r="B67" s="18" t="s">
        <v>71</v>
      </c>
      <c r="C67" s="19" t="s">
        <v>34</v>
      </c>
      <c r="D67" s="20" t="n">
        <v>3667</v>
      </c>
      <c r="E67" s="21" t="n">
        <v>3319</v>
      </c>
      <c r="F67" s="19" t="n">
        <v>16</v>
      </c>
    </row>
    <row r="68" customFormat="false" ht="15" hidden="false" customHeight="false" outlineLevel="0" collapsed="false">
      <c r="A68" s="18" t="s">
        <v>72</v>
      </c>
      <c r="B68" s="18" t="s">
        <v>73</v>
      </c>
      <c r="C68" s="19" t="s">
        <v>34</v>
      </c>
      <c r="D68" s="20" t="n">
        <v>3698</v>
      </c>
      <c r="E68" s="21" t="n">
        <v>3615</v>
      </c>
      <c r="F68" s="19" t="n">
        <v>16</v>
      </c>
    </row>
    <row r="69" customFormat="false" ht="15" hidden="false" customHeight="false" outlineLevel="0" collapsed="false">
      <c r="A69" s="18" t="s">
        <v>74</v>
      </c>
      <c r="B69" s="18" t="s">
        <v>75</v>
      </c>
      <c r="C69" s="19" t="s">
        <v>34</v>
      </c>
      <c r="D69" s="20" t="n">
        <v>18489</v>
      </c>
      <c r="E69" s="21" t="n">
        <v>18074</v>
      </c>
      <c r="F69" s="19" t="n">
        <v>16</v>
      </c>
    </row>
    <row r="70" customFormat="false" ht="15" hidden="false" customHeight="false" outlineLevel="0" collapsed="false">
      <c r="A70" s="22"/>
      <c r="B70" s="13"/>
      <c r="C70" s="13"/>
      <c r="D70" s="13"/>
      <c r="E70" s="23"/>
      <c r="F70" s="13"/>
    </row>
    <row r="71" customFormat="false" ht="15" hidden="false" customHeight="false" outlineLevel="0" collapsed="false">
      <c r="A71" s="28" t="s">
        <v>76</v>
      </c>
      <c r="B71" s="28"/>
      <c r="C71" s="28"/>
      <c r="D71" s="28"/>
      <c r="E71" s="28"/>
      <c r="F71" s="28"/>
    </row>
    <row r="72" customFormat="false" ht="15" hidden="false" customHeight="false" outlineLevel="0" collapsed="false">
      <c r="A72" s="15" t="s">
        <v>7</v>
      </c>
      <c r="B72" s="16" t="s">
        <v>8</v>
      </c>
      <c r="C72" s="16" t="s">
        <v>9</v>
      </c>
      <c r="D72" s="16" t="s">
        <v>31</v>
      </c>
      <c r="E72" s="17" t="s">
        <v>10</v>
      </c>
      <c r="F72" s="16" t="s">
        <v>11</v>
      </c>
    </row>
    <row r="73" customFormat="false" ht="15" hidden="false" customHeight="false" outlineLevel="0" collapsed="false">
      <c r="A73" s="18"/>
      <c r="B73" s="2" t="s">
        <v>77</v>
      </c>
      <c r="C73" s="19"/>
      <c r="D73" s="20"/>
      <c r="E73" s="21" t="n">
        <v>94448</v>
      </c>
      <c r="F73" s="19" t="n">
        <v>16</v>
      </c>
    </row>
    <row r="74" customFormat="false" ht="15" hidden="false" customHeight="false" outlineLevel="0" collapsed="false">
      <c r="A74" s="18"/>
      <c r="B74" s="18" t="s">
        <v>78</v>
      </c>
      <c r="C74" s="19"/>
      <c r="D74" s="20"/>
      <c r="E74" s="21"/>
      <c r="F74" s="19"/>
    </row>
    <row r="75" customFormat="false" ht="15" hidden="false" customHeight="false" outlineLevel="0" collapsed="false">
      <c r="A75" s="18"/>
      <c r="B75" s="18" t="s">
        <v>79</v>
      </c>
      <c r="C75" s="19"/>
      <c r="D75" s="20"/>
      <c r="E75" s="21"/>
      <c r="F75" s="19"/>
    </row>
    <row r="76" customFormat="false" ht="15" hidden="false" customHeight="false" outlineLevel="0" collapsed="false">
      <c r="A76" s="18" t="s">
        <v>80</v>
      </c>
      <c r="B76" s="18" t="s">
        <v>81</v>
      </c>
      <c r="C76" s="19" t="s">
        <v>21</v>
      </c>
      <c r="D76" s="20" t="n">
        <v>9502</v>
      </c>
      <c r="E76" s="21" t="n">
        <f aca="false">SUM(D76)/1.16</f>
        <v>8191.37931034483</v>
      </c>
      <c r="F76" s="19" t="n">
        <v>16</v>
      </c>
    </row>
    <row r="77" customFormat="false" ht="15" hidden="false" customHeight="false" outlineLevel="0" collapsed="false">
      <c r="A77" s="24"/>
      <c r="B77" s="18" t="s">
        <v>82</v>
      </c>
      <c r="C77" s="19" t="s">
        <v>21</v>
      </c>
      <c r="D77" s="20" t="n">
        <v>9502</v>
      </c>
      <c r="E77" s="21" t="n">
        <v>8846</v>
      </c>
      <c r="F77" s="19" t="n">
        <v>16</v>
      </c>
    </row>
    <row r="78" customFormat="false" ht="15" hidden="false" customHeight="false" outlineLevel="0" collapsed="false">
      <c r="A78" s="18" t="s">
        <v>83</v>
      </c>
      <c r="B78" s="18" t="s">
        <v>84</v>
      </c>
      <c r="C78" s="19" t="s">
        <v>21</v>
      </c>
      <c r="D78" s="20" t="n">
        <v>1663</v>
      </c>
      <c r="E78" s="21" t="n">
        <f aca="false">SUM(D78)/1.16</f>
        <v>1433.62068965517</v>
      </c>
      <c r="F78" s="19" t="n">
        <v>16</v>
      </c>
    </row>
    <row r="79" customFormat="false" ht="15" hidden="false" customHeight="false" outlineLevel="0" collapsed="false">
      <c r="A79" s="18" t="s">
        <v>85</v>
      </c>
      <c r="B79" s="18" t="s">
        <v>86</v>
      </c>
      <c r="C79" s="19" t="s">
        <v>21</v>
      </c>
      <c r="D79" s="20" t="n">
        <v>3003</v>
      </c>
      <c r="E79" s="21" t="n">
        <f aca="false">SUM(D79)/1.16</f>
        <v>2588.79310344828</v>
      </c>
      <c r="F79" s="19" t="n">
        <v>16</v>
      </c>
    </row>
    <row r="80" customFormat="false" ht="15" hidden="false" customHeight="false" outlineLevel="0" collapsed="false">
      <c r="A80" s="18" t="s">
        <v>87</v>
      </c>
      <c r="B80" s="18" t="s">
        <v>88</v>
      </c>
      <c r="C80" s="19" t="s">
        <v>21</v>
      </c>
      <c r="D80" s="20" t="n">
        <v>5364</v>
      </c>
      <c r="E80" s="21" t="n">
        <f aca="false">SUM(D80)/1.16</f>
        <v>4624.13793103448</v>
      </c>
      <c r="F80" s="19" t="n">
        <v>16</v>
      </c>
    </row>
    <row r="81" customFormat="false" ht="15" hidden="false" customHeight="false" outlineLevel="0" collapsed="false">
      <c r="A81" s="18" t="s">
        <v>89</v>
      </c>
      <c r="B81" s="18" t="s">
        <v>90</v>
      </c>
      <c r="C81" s="19" t="s">
        <v>91</v>
      </c>
      <c r="D81" s="20" t="n">
        <v>15610</v>
      </c>
      <c r="E81" s="21" t="n">
        <f aca="false">SUM(D81)/1.16</f>
        <v>13456.8965517241</v>
      </c>
      <c r="F81" s="19" t="n">
        <v>16</v>
      </c>
    </row>
    <row r="82" customFormat="false" ht="15" hidden="false" customHeight="false" outlineLevel="0" collapsed="false">
      <c r="A82" s="18" t="s">
        <v>92</v>
      </c>
      <c r="B82" s="18" t="s">
        <v>93</v>
      </c>
      <c r="C82" s="19" t="s">
        <v>91</v>
      </c>
      <c r="D82" s="20" t="n">
        <v>25750</v>
      </c>
      <c r="E82" s="21" t="n">
        <f aca="false">SUM(D82)/1.16</f>
        <v>22198.275862069</v>
      </c>
      <c r="F82" s="19" t="n">
        <v>16</v>
      </c>
    </row>
    <row r="83" customFormat="false" ht="15" hidden="false" customHeight="false" outlineLevel="0" collapsed="false">
      <c r="A83" s="18" t="s">
        <v>94</v>
      </c>
      <c r="B83" s="18" t="s">
        <v>95</v>
      </c>
      <c r="C83" s="19" t="s">
        <v>21</v>
      </c>
      <c r="D83" s="20" t="n">
        <v>4127</v>
      </c>
      <c r="E83" s="21" t="n">
        <f aca="false">SUM(D83)/1.16</f>
        <v>3557.75862068966</v>
      </c>
      <c r="F83" s="19" t="n">
        <v>16</v>
      </c>
    </row>
    <row r="84" customFormat="false" ht="15" hidden="false" customHeight="false" outlineLevel="0" collapsed="false">
      <c r="A84" s="18" t="s">
        <v>96</v>
      </c>
      <c r="B84" s="18" t="s">
        <v>97</v>
      </c>
      <c r="C84" s="19" t="s">
        <v>21</v>
      </c>
      <c r="D84" s="20" t="n">
        <v>7572</v>
      </c>
      <c r="E84" s="21" t="n">
        <f aca="false">SUM(D84)/1.16</f>
        <v>6527.58620689655</v>
      </c>
      <c r="F84" s="19" t="n">
        <v>16</v>
      </c>
    </row>
    <row r="85" customFormat="false" ht="15" hidden="false" customHeight="false" outlineLevel="0" collapsed="false">
      <c r="A85" s="18" t="s">
        <v>98</v>
      </c>
      <c r="B85" s="18" t="s">
        <v>99</v>
      </c>
      <c r="C85" s="19" t="s">
        <v>91</v>
      </c>
      <c r="D85" s="20" t="n">
        <v>22038</v>
      </c>
      <c r="E85" s="21" t="n">
        <f aca="false">SUM(D85)/1.16</f>
        <v>18998.275862069</v>
      </c>
      <c r="F85" s="19" t="n">
        <v>16</v>
      </c>
    </row>
    <row r="86" customFormat="false" ht="15" hidden="false" customHeight="false" outlineLevel="0" collapsed="false">
      <c r="A86" s="18" t="s">
        <v>100</v>
      </c>
      <c r="B86" s="18" t="s">
        <v>101</v>
      </c>
      <c r="C86" s="19" t="s">
        <v>91</v>
      </c>
      <c r="D86" s="20" t="n">
        <v>36351</v>
      </c>
      <c r="E86" s="21" t="n">
        <f aca="false">SUM(D86)/1.16</f>
        <v>31337.0689655172</v>
      </c>
      <c r="F86" s="19" t="n">
        <v>16</v>
      </c>
    </row>
    <row r="87" customFormat="false" ht="15" hidden="false" customHeight="false" outlineLevel="0" collapsed="false">
      <c r="A87" s="18"/>
      <c r="B87" s="18" t="s">
        <v>102</v>
      </c>
      <c r="C87" s="19" t="s">
        <v>91</v>
      </c>
      <c r="D87" s="20"/>
      <c r="E87" s="21" t="n">
        <v>26642</v>
      </c>
      <c r="F87" s="19" t="n">
        <v>16</v>
      </c>
    </row>
    <row r="89" customFormat="false" ht="15" hidden="true" customHeight="false" outlineLevel="0" collapsed="false"/>
    <row r="90" customFormat="false" ht="15" hidden="false" customHeight="false" outlineLevel="0" collapsed="false">
      <c r="A90" s="14" t="s">
        <v>103</v>
      </c>
      <c r="B90" s="14"/>
      <c r="C90" s="14"/>
      <c r="D90" s="14"/>
      <c r="E90" s="14"/>
      <c r="F90" s="14"/>
    </row>
    <row r="91" customFormat="false" ht="15" hidden="false" customHeight="false" outlineLevel="0" collapsed="false">
      <c r="A91" s="15" t="s">
        <v>7</v>
      </c>
      <c r="B91" s="16" t="s">
        <v>8</v>
      </c>
      <c r="C91" s="16" t="s">
        <v>9</v>
      </c>
      <c r="D91" s="16" t="s">
        <v>31</v>
      </c>
      <c r="E91" s="17" t="s">
        <v>10</v>
      </c>
      <c r="F91" s="16" t="s">
        <v>11</v>
      </c>
    </row>
    <row r="92" customFormat="false" ht="15" hidden="false" customHeight="false" outlineLevel="0" collapsed="false">
      <c r="A92" s="18" t="s">
        <v>104</v>
      </c>
      <c r="B92" s="18" t="s">
        <v>105</v>
      </c>
      <c r="C92" s="19" t="s">
        <v>14</v>
      </c>
      <c r="D92" s="20" t="n">
        <v>33187</v>
      </c>
      <c r="E92" s="21" t="n">
        <v>32106</v>
      </c>
      <c r="F92" s="19" t="n">
        <v>10</v>
      </c>
    </row>
    <row r="93" customFormat="false" ht="15" hidden="false" customHeight="false" outlineLevel="0" collapsed="false">
      <c r="A93" s="18" t="s">
        <v>106</v>
      </c>
      <c r="B93" s="18" t="s">
        <v>107</v>
      </c>
      <c r="C93" s="19" t="s">
        <v>108</v>
      </c>
      <c r="D93" s="20" t="n">
        <v>8041</v>
      </c>
      <c r="E93" s="21" t="n">
        <v>7980</v>
      </c>
      <c r="F93" s="19" t="n">
        <v>10</v>
      </c>
    </row>
    <row r="94" customFormat="false" ht="15" hidden="false" customHeight="false" outlineLevel="0" collapsed="false">
      <c r="A94" s="18" t="s">
        <v>109</v>
      </c>
      <c r="B94" s="18" t="s">
        <v>110</v>
      </c>
      <c r="C94" s="19" t="s">
        <v>111</v>
      </c>
      <c r="D94" s="20" t="n">
        <v>2705</v>
      </c>
      <c r="E94" s="21" t="n">
        <v>2675</v>
      </c>
      <c r="F94" s="19" t="n">
        <v>10</v>
      </c>
    </row>
    <row r="95" customFormat="false" ht="15" hidden="false" customHeight="false" outlineLevel="0" collapsed="false">
      <c r="A95" s="18" t="s">
        <v>112</v>
      </c>
      <c r="B95" s="18" t="s">
        <v>113</v>
      </c>
      <c r="C95" s="19" t="s">
        <v>111</v>
      </c>
      <c r="D95" s="20" t="n">
        <v>4499</v>
      </c>
      <c r="E95" s="21" t="n">
        <v>4400</v>
      </c>
      <c r="F95" s="19" t="n">
        <v>10</v>
      </c>
    </row>
    <row r="96" customFormat="false" ht="15" hidden="false" customHeight="false" outlineLevel="0" collapsed="false">
      <c r="A96" s="18" t="s">
        <v>114</v>
      </c>
      <c r="B96" s="18" t="s">
        <v>115</v>
      </c>
      <c r="C96" s="19" t="s">
        <v>111</v>
      </c>
      <c r="D96" s="20" t="n">
        <v>2437</v>
      </c>
      <c r="E96" s="21" t="n">
        <v>2507</v>
      </c>
      <c r="F96" s="19" t="n">
        <v>10</v>
      </c>
    </row>
    <row r="97" customFormat="false" ht="15" hidden="false" customHeight="false" outlineLevel="0" collapsed="false">
      <c r="A97" s="18" t="s">
        <v>116</v>
      </c>
      <c r="B97" s="18" t="s">
        <v>117</v>
      </c>
      <c r="C97" s="19" t="s">
        <v>111</v>
      </c>
      <c r="D97" s="20" t="n">
        <v>4048</v>
      </c>
      <c r="E97" s="21" t="n">
        <v>4100</v>
      </c>
      <c r="F97" s="19" t="n">
        <v>10</v>
      </c>
    </row>
    <row r="100" customFormat="false" ht="15" hidden="false" customHeight="false" outlineLevel="0" collapsed="false">
      <c r="D100" s="25"/>
    </row>
    <row r="101" customFormat="false" ht="15" hidden="false" customHeight="false" outlineLevel="0" collapsed="false">
      <c r="D101" s="25"/>
    </row>
    <row r="102" customFormat="false" ht="15" hidden="false" customHeight="false" outlineLevel="0" collapsed="false">
      <c r="A102" s="22"/>
      <c r="B102" s="13"/>
      <c r="C102" s="13"/>
      <c r="D102" s="13"/>
      <c r="E102" s="23"/>
      <c r="F102" s="13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</row>
    <row r="104" customFormat="false" ht="18.75" hidden="false" customHeight="false" outlineLevel="0" collapsed="false">
      <c r="B104" s="6" t="s">
        <v>1</v>
      </c>
      <c r="C104" s="6"/>
      <c r="D104" s="6"/>
      <c r="E104" s="6"/>
      <c r="F104" s="6"/>
    </row>
    <row r="105" customFormat="false" ht="15" hidden="false" customHeight="false" outlineLevel="0" collapsed="false">
      <c r="B105" s="27" t="s">
        <v>2</v>
      </c>
      <c r="C105" s="27"/>
      <c r="D105" s="27"/>
      <c r="E105" s="27"/>
      <c r="F105" s="27"/>
    </row>
    <row r="106" customFormat="false" ht="15" hidden="false" customHeight="false" outlineLevel="0" collapsed="false">
      <c r="B106" s="8" t="s">
        <v>3</v>
      </c>
      <c r="C106" s="8"/>
      <c r="D106" s="8"/>
      <c r="E106" s="8"/>
      <c r="F106" s="8"/>
    </row>
    <row r="107" customFormat="false" ht="15" hidden="false" customHeight="false" outlineLevel="0" collapsed="false">
      <c r="B107" s="8" t="s">
        <v>4</v>
      </c>
      <c r="C107" s="8"/>
      <c r="D107" s="8"/>
      <c r="E107" s="8"/>
      <c r="F107" s="8"/>
    </row>
    <row r="108" customFormat="false" ht="15" hidden="false" customHeight="false" outlineLevel="0" collapsed="false">
      <c r="B108" s="9"/>
    </row>
    <row r="109" customFormat="false" ht="15.75" hidden="false" customHeight="false" outlineLevel="0" collapsed="false">
      <c r="A109" s="10" t="s">
        <v>5</v>
      </c>
      <c r="B109" s="10"/>
      <c r="C109" s="10"/>
      <c r="D109" s="10"/>
      <c r="E109" s="10"/>
      <c r="F109" s="10"/>
    </row>
    <row r="110" customFormat="false" ht="15" hidden="false" customHeight="false" outlineLevel="0" collapsed="false">
      <c r="A110" s="11" t="s">
        <v>6</v>
      </c>
      <c r="B110" s="11"/>
      <c r="C110" s="11"/>
      <c r="D110" s="11"/>
      <c r="E110" s="12"/>
      <c r="F110" s="13"/>
    </row>
    <row r="111" customFormat="false" ht="15" hidden="false" customHeight="false" outlineLevel="0" collapsed="false">
      <c r="A111" s="28" t="s">
        <v>118</v>
      </c>
      <c r="B111" s="28"/>
      <c r="C111" s="28"/>
      <c r="D111" s="28"/>
      <c r="E111" s="28"/>
      <c r="F111" s="28"/>
    </row>
    <row r="112" customFormat="false" ht="15" hidden="false" customHeight="false" outlineLevel="0" collapsed="false">
      <c r="A112" s="15" t="s">
        <v>7</v>
      </c>
      <c r="B112" s="16" t="s">
        <v>8</v>
      </c>
      <c r="C112" s="16" t="s">
        <v>9</v>
      </c>
      <c r="D112" s="16" t="s">
        <v>31</v>
      </c>
      <c r="E112" s="17" t="s">
        <v>10</v>
      </c>
      <c r="F112" s="16" t="s">
        <v>11</v>
      </c>
    </row>
    <row r="113" customFormat="false" ht="15" hidden="false" customHeight="false" outlineLevel="0" collapsed="false">
      <c r="A113" s="18" t="s">
        <v>119</v>
      </c>
      <c r="B113" s="18" t="s">
        <v>120</v>
      </c>
      <c r="C113" s="19" t="s">
        <v>121</v>
      </c>
      <c r="D113" s="20" t="n">
        <v>2379</v>
      </c>
      <c r="E113" s="21" t="n">
        <f aca="false">SUM(D113)/1.1</f>
        <v>2162.72727272727</v>
      </c>
      <c r="F113" s="19" t="n">
        <v>10</v>
      </c>
    </row>
    <row r="114" customFormat="false" ht="15" hidden="false" customHeight="false" outlineLevel="0" collapsed="false">
      <c r="A114" s="18" t="s">
        <v>122</v>
      </c>
      <c r="B114" s="18" t="s">
        <v>123</v>
      </c>
      <c r="C114" s="19" t="s">
        <v>124</v>
      </c>
      <c r="D114" s="20" t="n">
        <v>2379</v>
      </c>
      <c r="E114" s="21" t="n">
        <f aca="false">SUM(D114)/1.1</f>
        <v>2162.72727272727</v>
      </c>
      <c r="F114" s="19" t="n">
        <v>10</v>
      </c>
    </row>
    <row r="115" customFormat="false" ht="15" hidden="false" customHeight="false" outlineLevel="0" collapsed="false">
      <c r="A115" s="18" t="s">
        <v>125</v>
      </c>
      <c r="B115" s="18" t="s">
        <v>126</v>
      </c>
      <c r="C115" s="19" t="s">
        <v>51</v>
      </c>
      <c r="D115" s="20" t="n">
        <v>2379</v>
      </c>
      <c r="E115" s="21" t="n">
        <f aca="false">SUM(D115)/1.1</f>
        <v>2162.72727272727</v>
      </c>
      <c r="F115" s="19" t="n">
        <v>10</v>
      </c>
    </row>
    <row r="116" customFormat="false" ht="15" hidden="false" customHeight="false" outlineLevel="0" collapsed="false">
      <c r="A116" s="18" t="s">
        <v>127</v>
      </c>
      <c r="B116" s="18" t="s">
        <v>128</v>
      </c>
      <c r="C116" s="19" t="s">
        <v>129</v>
      </c>
      <c r="D116" s="20" t="n">
        <v>2379</v>
      </c>
      <c r="E116" s="21" t="n">
        <f aca="false">SUM(D116)/1.1</f>
        <v>2162.72727272727</v>
      </c>
      <c r="F116" s="19" t="n">
        <v>10</v>
      </c>
    </row>
    <row r="117" customFormat="false" ht="15" hidden="false" customHeight="false" outlineLevel="0" collapsed="false">
      <c r="A117" s="18" t="s">
        <v>130</v>
      </c>
      <c r="B117" s="18" t="s">
        <v>131</v>
      </c>
      <c r="C117" s="19" t="s">
        <v>129</v>
      </c>
      <c r="D117" s="20" t="n">
        <v>3368</v>
      </c>
      <c r="E117" s="21" t="n">
        <f aca="false">SUM(D117)/1.1</f>
        <v>3061.81818181818</v>
      </c>
      <c r="F117" s="19" t="n">
        <v>10</v>
      </c>
    </row>
    <row r="118" customFormat="false" ht="15" hidden="false" customHeight="false" outlineLevel="0" collapsed="false">
      <c r="A118" s="18" t="s">
        <v>132</v>
      </c>
      <c r="B118" s="18" t="s">
        <v>133</v>
      </c>
      <c r="C118" s="19" t="s">
        <v>129</v>
      </c>
      <c r="D118" s="20" t="n">
        <v>4026</v>
      </c>
      <c r="E118" s="21" t="n">
        <f aca="false">SUM(D118)/1.1</f>
        <v>3660</v>
      </c>
      <c r="F118" s="19" t="n">
        <v>10</v>
      </c>
    </row>
    <row r="119" customFormat="false" ht="15" hidden="false" customHeight="false" outlineLevel="0" collapsed="false">
      <c r="A119" s="18" t="s">
        <v>134</v>
      </c>
      <c r="B119" s="18" t="s">
        <v>135</v>
      </c>
      <c r="C119" s="19" t="s">
        <v>136</v>
      </c>
      <c r="D119" s="20" t="n">
        <v>3475</v>
      </c>
      <c r="E119" s="21" t="n">
        <v>3317</v>
      </c>
      <c r="F119" s="19" t="n">
        <v>10</v>
      </c>
    </row>
    <row r="120" customFormat="false" ht="15" hidden="false" customHeight="false" outlineLevel="0" collapsed="false">
      <c r="D120" s="25" t="s">
        <v>0</v>
      </c>
    </row>
    <row r="121" customFormat="false" ht="15" hidden="false" customHeight="false" outlineLevel="0" collapsed="false">
      <c r="A121" s="28" t="s">
        <v>137</v>
      </c>
      <c r="B121" s="28"/>
      <c r="C121" s="28"/>
      <c r="D121" s="28"/>
      <c r="E121" s="28"/>
      <c r="F121" s="28"/>
    </row>
    <row r="122" customFormat="false" ht="15" hidden="false" customHeight="false" outlineLevel="0" collapsed="false">
      <c r="A122" s="15" t="s">
        <v>7</v>
      </c>
      <c r="B122" s="16" t="s">
        <v>8</v>
      </c>
      <c r="C122" s="16" t="s">
        <v>9</v>
      </c>
      <c r="D122" s="16" t="s">
        <v>31</v>
      </c>
      <c r="E122" s="17" t="s">
        <v>10</v>
      </c>
      <c r="F122" s="16" t="s">
        <v>11</v>
      </c>
    </row>
    <row r="123" customFormat="false" ht="15" hidden="false" customHeight="false" outlineLevel="0" collapsed="false">
      <c r="A123" s="18" t="s">
        <v>138</v>
      </c>
      <c r="B123" s="18" t="s">
        <v>139</v>
      </c>
      <c r="C123" s="19" t="s">
        <v>129</v>
      </c>
      <c r="D123" s="20" t="n">
        <v>389</v>
      </c>
      <c r="E123" s="21" t="n">
        <f aca="false">SUM(D123)/1.16</f>
        <v>335.344827586207</v>
      </c>
      <c r="F123" s="19" t="n">
        <v>16</v>
      </c>
    </row>
    <row r="124" customFormat="false" ht="15" hidden="false" customHeight="false" outlineLevel="0" collapsed="false">
      <c r="A124" s="18" t="s">
        <v>140</v>
      </c>
      <c r="B124" s="18" t="s">
        <v>141</v>
      </c>
      <c r="C124" s="19" t="s">
        <v>51</v>
      </c>
      <c r="D124" s="20" t="n">
        <v>653</v>
      </c>
      <c r="E124" s="21" t="n">
        <f aca="false">SUM(D124)/1.16</f>
        <v>562.931034482759</v>
      </c>
      <c r="F124" s="19" t="n">
        <v>16</v>
      </c>
    </row>
    <row r="125" customFormat="false" ht="15" hidden="false" customHeight="false" outlineLevel="0" collapsed="false">
      <c r="D125" s="25"/>
    </row>
    <row r="126" customFormat="false" ht="15" hidden="false" customHeight="false" outlineLevel="0" collapsed="false">
      <c r="A126" s="28" t="s">
        <v>142</v>
      </c>
      <c r="B126" s="28"/>
      <c r="C126" s="28"/>
      <c r="D126" s="28"/>
      <c r="E126" s="28"/>
      <c r="F126" s="28"/>
    </row>
    <row r="127" customFormat="false" ht="15" hidden="false" customHeight="false" outlineLevel="0" collapsed="false">
      <c r="A127" s="15" t="s">
        <v>7</v>
      </c>
      <c r="B127" s="16" t="s">
        <v>8</v>
      </c>
      <c r="C127" s="16" t="s">
        <v>9</v>
      </c>
      <c r="D127" s="16" t="s">
        <v>31</v>
      </c>
      <c r="E127" s="17" t="s">
        <v>10</v>
      </c>
      <c r="F127" s="16" t="s">
        <v>11</v>
      </c>
    </row>
    <row r="128" customFormat="false" ht="15" hidden="false" customHeight="false" outlineLevel="0" collapsed="false">
      <c r="A128" s="18" t="s">
        <v>143</v>
      </c>
      <c r="B128" s="18" t="s">
        <v>144</v>
      </c>
      <c r="C128" s="19" t="s">
        <v>14</v>
      </c>
      <c r="D128" s="20" t="n">
        <v>1914</v>
      </c>
      <c r="E128" s="21" t="n">
        <f aca="false">SUM(D128)/1.1</f>
        <v>1740</v>
      </c>
      <c r="F128" s="19" t="n">
        <v>10</v>
      </c>
    </row>
    <row r="129" customFormat="false" ht="15" hidden="false" customHeight="false" outlineLevel="0" collapsed="false">
      <c r="A129" s="18" t="s">
        <v>145</v>
      </c>
      <c r="B129" s="18" t="s">
        <v>146</v>
      </c>
      <c r="C129" s="19" t="s">
        <v>14</v>
      </c>
      <c r="D129" s="20" t="n">
        <v>1914</v>
      </c>
      <c r="E129" s="21" t="n">
        <f aca="false">SUM(D129)/1.1</f>
        <v>1740</v>
      </c>
      <c r="F129" s="19" t="n">
        <v>10</v>
      </c>
    </row>
    <row r="130" customFormat="false" ht="15" hidden="false" customHeight="false" outlineLevel="0" collapsed="false">
      <c r="D130" s="25"/>
    </row>
    <row r="131" customFormat="false" ht="15" hidden="false" customHeight="false" outlineLevel="0" collapsed="false">
      <c r="A131" s="28" t="s">
        <v>147</v>
      </c>
      <c r="B131" s="28"/>
      <c r="C131" s="28"/>
      <c r="D131" s="28"/>
      <c r="E131" s="28"/>
      <c r="F131" s="28"/>
    </row>
    <row r="132" customFormat="false" ht="15" hidden="false" customHeight="false" outlineLevel="0" collapsed="false">
      <c r="A132" s="15" t="s">
        <v>7</v>
      </c>
      <c r="B132" s="16" t="s">
        <v>8</v>
      </c>
      <c r="C132" s="16" t="s">
        <v>9</v>
      </c>
      <c r="D132" s="16" t="s">
        <v>31</v>
      </c>
      <c r="E132" s="17" t="s">
        <v>10</v>
      </c>
      <c r="F132" s="16" t="s">
        <v>11</v>
      </c>
    </row>
    <row r="133" customFormat="false" ht="15" hidden="false" customHeight="false" outlineLevel="0" collapsed="false">
      <c r="A133" s="18" t="s">
        <v>148</v>
      </c>
      <c r="B133" s="18" t="s">
        <v>149</v>
      </c>
      <c r="C133" s="19" t="s">
        <v>150</v>
      </c>
      <c r="D133" s="20" t="n">
        <v>3074</v>
      </c>
      <c r="E133" s="21" t="n">
        <f aca="false">SUM(D133)/1.16</f>
        <v>2650</v>
      </c>
      <c r="F133" s="19" t="n">
        <v>16</v>
      </c>
    </row>
    <row r="134" customFormat="false" ht="15" hidden="false" customHeight="false" outlineLevel="0" collapsed="false">
      <c r="A134" s="18" t="s">
        <v>151</v>
      </c>
      <c r="B134" s="18" t="s">
        <v>152</v>
      </c>
      <c r="C134" s="19" t="s">
        <v>150</v>
      </c>
      <c r="D134" s="20" t="n">
        <v>2958</v>
      </c>
      <c r="E134" s="21" t="n">
        <f aca="false">SUM(D134)/1.16</f>
        <v>2550</v>
      </c>
      <c r="F134" s="19" t="n">
        <v>16</v>
      </c>
    </row>
    <row r="135" customFormat="false" ht="15" hidden="false" customHeight="false" outlineLevel="0" collapsed="false">
      <c r="D135" s="25"/>
    </row>
    <row r="136" customFormat="false" ht="15" hidden="false" customHeight="false" outlineLevel="0" collapsed="false">
      <c r="A136" s="28" t="s">
        <v>153</v>
      </c>
      <c r="B136" s="28"/>
      <c r="C136" s="28"/>
      <c r="D136" s="28"/>
      <c r="E136" s="28"/>
      <c r="F136" s="28"/>
    </row>
    <row r="137" customFormat="false" ht="15" hidden="false" customHeight="false" outlineLevel="0" collapsed="false">
      <c r="A137" s="15" t="s">
        <v>7</v>
      </c>
      <c r="B137" s="16" t="s">
        <v>8</v>
      </c>
      <c r="C137" s="16" t="s">
        <v>9</v>
      </c>
      <c r="D137" s="16" t="s">
        <v>31</v>
      </c>
      <c r="E137" s="17" t="s">
        <v>10</v>
      </c>
      <c r="F137" s="16" t="s">
        <v>11</v>
      </c>
    </row>
    <row r="138" customFormat="false" ht="15" hidden="false" customHeight="false" outlineLevel="0" collapsed="false">
      <c r="A138" s="18" t="s">
        <v>154</v>
      </c>
      <c r="B138" s="18" t="s">
        <v>155</v>
      </c>
      <c r="C138" s="19" t="s">
        <v>14</v>
      </c>
      <c r="D138" s="20" t="n">
        <v>6365</v>
      </c>
      <c r="E138" s="21" t="n">
        <f aca="false">SUM(D138)/1.16</f>
        <v>5487.06896551724</v>
      </c>
      <c r="F138" s="19" t="n">
        <v>16</v>
      </c>
    </row>
    <row r="139" customFormat="false" ht="15" hidden="false" customHeight="false" outlineLevel="0" collapsed="false">
      <c r="A139" s="18" t="s">
        <v>156</v>
      </c>
      <c r="B139" s="18" t="s">
        <v>157</v>
      </c>
      <c r="C139" s="19" t="s">
        <v>51</v>
      </c>
      <c r="D139" s="20" t="n">
        <v>6365</v>
      </c>
      <c r="E139" s="21" t="n">
        <f aca="false">SUM(D139)/1.16</f>
        <v>5487.06896551724</v>
      </c>
      <c r="F139" s="19" t="n">
        <v>16</v>
      </c>
    </row>
    <row r="140" customFormat="false" ht="15" hidden="false" customHeight="false" outlineLevel="0" collapsed="false">
      <c r="A140" s="18" t="s">
        <v>158</v>
      </c>
      <c r="B140" s="18" t="s">
        <v>159</v>
      </c>
      <c r="C140" s="19" t="s">
        <v>14</v>
      </c>
      <c r="D140" s="20" t="n">
        <v>6365</v>
      </c>
      <c r="E140" s="21" t="n">
        <f aca="false">SUM(D140)/1.16</f>
        <v>5487.06896551724</v>
      </c>
      <c r="F140" s="19" t="n">
        <v>16</v>
      </c>
    </row>
    <row r="141" customFormat="false" ht="15" hidden="false" customHeight="false" outlineLevel="0" collapsed="false">
      <c r="A141" s="18" t="s">
        <v>160</v>
      </c>
      <c r="B141" s="18" t="s">
        <v>161</v>
      </c>
      <c r="C141" s="19" t="s">
        <v>54</v>
      </c>
      <c r="D141" s="20" t="n">
        <v>657</v>
      </c>
      <c r="E141" s="21" t="n">
        <f aca="false">SUM(D141)/1.16</f>
        <v>566.379310344828</v>
      </c>
      <c r="F141" s="19" t="n">
        <v>16</v>
      </c>
    </row>
    <row r="144" customFormat="false" ht="15" hidden="false" customHeight="false" outlineLevel="0" collapsed="false">
      <c r="A144" s="29" t="s">
        <v>162</v>
      </c>
    </row>
    <row r="145" customFormat="false" ht="15" hidden="false" customHeight="false" outlineLevel="0" collapsed="false">
      <c r="A145" s="29" t="s">
        <v>163</v>
      </c>
    </row>
  </sheetData>
  <mergeCells count="30">
    <mergeCell ref="A3:F3"/>
    <mergeCell ref="B4:F4"/>
    <mergeCell ref="B5:F5"/>
    <mergeCell ref="B6:F6"/>
    <mergeCell ref="B7:F7"/>
    <mergeCell ref="A9:F9"/>
    <mergeCell ref="A10:D10"/>
    <mergeCell ref="A11:F11"/>
    <mergeCell ref="A52:F52"/>
    <mergeCell ref="B53:F53"/>
    <mergeCell ref="B54:F54"/>
    <mergeCell ref="B55:F55"/>
    <mergeCell ref="B56:F56"/>
    <mergeCell ref="A58:F58"/>
    <mergeCell ref="A59:D59"/>
    <mergeCell ref="A60:F60"/>
    <mergeCell ref="A71:F71"/>
    <mergeCell ref="A90:F90"/>
    <mergeCell ref="A103:F103"/>
    <mergeCell ref="B104:F104"/>
    <mergeCell ref="B105:F105"/>
    <mergeCell ref="B106:F106"/>
    <mergeCell ref="B107:F107"/>
    <mergeCell ref="A109:F109"/>
    <mergeCell ref="A110:D110"/>
    <mergeCell ref="A111:F111"/>
    <mergeCell ref="A121:F121"/>
    <mergeCell ref="A126:F126"/>
    <mergeCell ref="A131:F131"/>
    <mergeCell ref="A136:F136"/>
  </mergeCells>
  <printOptions headings="false" gridLines="false" gridLinesSet="true" horizontalCentered="true" verticalCentered="true"/>
  <pageMargins left="0.708333333333333" right="0.708333333333333" top="0.236111111111111" bottom="0.827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35" colorId="64" zoomScale="110" zoomScaleNormal="110" zoomScalePageLayoutView="100" workbookViewId="0">
      <selection pane="topLeft" activeCell="B46" activeCellId="0" sqref="B46"/>
    </sheetView>
  </sheetViews>
  <sheetFormatPr defaultColWidth="11.1484375" defaultRowHeight="15" zeroHeight="false" outlineLevelRow="0" outlineLevelCol="0"/>
  <cols>
    <col collapsed="false" customWidth="true" hidden="false" outlineLevel="0" max="1" min="1" style="30" width="7.86"/>
    <col collapsed="false" customWidth="true" hidden="false" outlineLevel="0" max="2" min="2" style="31" width="48.42"/>
    <col collapsed="false" customWidth="true" hidden="false" outlineLevel="0" max="3" min="3" style="31" width="9.42"/>
    <col collapsed="false" customWidth="true" hidden="false" outlineLevel="0" max="4" min="4" style="32" width="11.43"/>
    <col collapsed="false" customWidth="true" hidden="false" outlineLevel="0" max="5" min="5" style="33" width="6.14"/>
    <col collapsed="false" customWidth="true" hidden="false" outlineLevel="0" max="6" min="6" style="31" width="13.42"/>
    <col collapsed="false" customWidth="true" hidden="true" outlineLevel="0" max="7" min="7" style="34" width="13.86"/>
    <col collapsed="false" customWidth="true" hidden="true" outlineLevel="0" max="8" min="8" style="34" width="16.71"/>
    <col collapsed="false" customWidth="true" hidden="true" outlineLevel="0" max="9" min="9" style="34" width="13.86"/>
    <col collapsed="false" customWidth="false" hidden="false" outlineLevel="0" max="16382" min="10" style="31" width="11.14"/>
    <col collapsed="false" customWidth="true" hidden="false" outlineLevel="0" max="16384" min="16383" style="31" width="11.57"/>
  </cols>
  <sheetData>
    <row r="1" customFormat="false" ht="15.75" hidden="false" customHeight="false" outlineLevel="0" collapsed="false">
      <c r="A1" s="35"/>
      <c r="B1" s="35"/>
      <c r="C1" s="35"/>
      <c r="D1" s="35"/>
      <c r="E1" s="35"/>
      <c r="F1" s="36"/>
    </row>
    <row r="2" customFormat="false" ht="18.75" hidden="false" customHeight="false" outlineLevel="0" collapsed="false">
      <c r="B2" s="37" t="s">
        <v>164</v>
      </c>
      <c r="C2" s="37"/>
      <c r="D2" s="37"/>
      <c r="E2" s="37"/>
      <c r="F2" s="38"/>
    </row>
    <row r="3" customFormat="false" ht="15" hidden="false" customHeight="false" outlineLevel="0" collapsed="false">
      <c r="B3" s="39" t="s">
        <v>165</v>
      </c>
      <c r="C3" s="39"/>
      <c r="D3" s="39"/>
      <c r="E3" s="39"/>
    </row>
    <row r="4" customFormat="false" ht="15" hidden="false" customHeight="false" outlineLevel="0" collapsed="false">
      <c r="B4" s="40" t="s">
        <v>3</v>
      </c>
      <c r="C4" s="40"/>
      <c r="D4" s="40"/>
      <c r="E4" s="40"/>
    </row>
    <row r="5" customFormat="false" ht="15" hidden="false" customHeight="false" outlineLevel="0" collapsed="false">
      <c r="B5" s="40"/>
      <c r="C5" s="40"/>
      <c r="D5" s="40"/>
      <c r="E5" s="40"/>
    </row>
    <row r="6" customFormat="false" ht="15" hidden="false" customHeight="false" outlineLevel="0" collapsed="false">
      <c r="B6" s="41"/>
    </row>
    <row r="7" customFormat="false" ht="15.75" hidden="false" customHeight="false" outlineLevel="0" collapsed="false">
      <c r="A7" s="42"/>
      <c r="B7" s="42"/>
      <c r="C7" s="42"/>
      <c r="D7" s="42"/>
      <c r="E7" s="42"/>
    </row>
    <row r="8" customFormat="false" ht="19.5" hidden="false" customHeight="false" outlineLevel="0" collapsed="false">
      <c r="A8" s="43" t="s">
        <v>166</v>
      </c>
      <c r="B8" s="43"/>
      <c r="C8" s="43"/>
      <c r="D8" s="43"/>
      <c r="E8" s="43"/>
    </row>
    <row r="9" customFormat="false" ht="36.75" hidden="false" customHeight="true" outlineLevel="0" collapsed="false">
      <c r="A9" s="44" t="s">
        <v>167</v>
      </c>
      <c r="B9" s="45" t="s">
        <v>168</v>
      </c>
      <c r="C9" s="45" t="s">
        <v>9</v>
      </c>
      <c r="D9" s="46" t="s">
        <v>10</v>
      </c>
      <c r="E9" s="47" t="s">
        <v>11</v>
      </c>
      <c r="F9" s="48" t="s">
        <v>169</v>
      </c>
    </row>
    <row r="10" customFormat="false" ht="16.5" hidden="false" customHeight="false" outlineLevel="0" collapsed="false">
      <c r="A10" s="49" t="n">
        <v>302</v>
      </c>
      <c r="B10" s="50" t="s">
        <v>170</v>
      </c>
      <c r="C10" s="50" t="s">
        <v>171</v>
      </c>
      <c r="D10" s="51" t="n">
        <v>1613</v>
      </c>
      <c r="E10" s="52" t="n">
        <v>0</v>
      </c>
      <c r="F10" s="51" t="n">
        <f aca="false">+D10*(1+E10)</f>
        <v>1613</v>
      </c>
    </row>
    <row r="11" customFormat="false" ht="16.5" hidden="false" customHeight="false" outlineLevel="0" collapsed="false">
      <c r="A11" s="49" t="s">
        <v>172</v>
      </c>
      <c r="B11" s="50" t="s">
        <v>173</v>
      </c>
      <c r="C11" s="50" t="s">
        <v>14</v>
      </c>
      <c r="D11" s="51" t="n">
        <v>4771</v>
      </c>
      <c r="E11" s="52" t="n">
        <v>0</v>
      </c>
      <c r="F11" s="51" t="n">
        <f aca="false">+D11*(1+E11)</f>
        <v>4771</v>
      </c>
    </row>
    <row r="12" customFormat="false" ht="16.5" hidden="false" customHeight="false" outlineLevel="0" collapsed="false">
      <c r="A12" s="49" t="s">
        <v>174</v>
      </c>
      <c r="B12" s="50" t="s">
        <v>175</v>
      </c>
      <c r="C12" s="50" t="s">
        <v>14</v>
      </c>
      <c r="D12" s="51" t="n">
        <v>1030</v>
      </c>
      <c r="E12" s="52" t="n">
        <v>0</v>
      </c>
      <c r="F12" s="51" t="n">
        <f aca="false">+D12*(1+E12)</f>
        <v>1030</v>
      </c>
    </row>
    <row r="13" customFormat="false" ht="16.5" hidden="false" customHeight="false" outlineLevel="0" collapsed="false">
      <c r="A13" s="49" t="s">
        <v>176</v>
      </c>
      <c r="B13" s="50" t="s">
        <v>177</v>
      </c>
      <c r="C13" s="50" t="s">
        <v>14</v>
      </c>
      <c r="D13" s="51" t="n">
        <v>4247</v>
      </c>
      <c r="E13" s="52" t="n">
        <v>0</v>
      </c>
      <c r="F13" s="51" t="n">
        <f aca="false">+D13*(1+E13)</f>
        <v>4247</v>
      </c>
    </row>
    <row r="14" customFormat="false" ht="16.5" hidden="false" customHeight="false" outlineLevel="0" collapsed="false">
      <c r="A14" s="49" t="s">
        <v>178</v>
      </c>
      <c r="B14" s="50" t="s">
        <v>179</v>
      </c>
      <c r="C14" s="50" t="s">
        <v>171</v>
      </c>
      <c r="D14" s="51" t="n">
        <v>5190</v>
      </c>
      <c r="E14" s="52" t="n">
        <v>0</v>
      </c>
      <c r="F14" s="51" t="n">
        <f aca="false">+D14*(1+E14)</f>
        <v>5190</v>
      </c>
    </row>
    <row r="15" customFormat="false" ht="16.5" hidden="false" customHeight="false" outlineLevel="0" collapsed="false">
      <c r="A15" s="49" t="s">
        <v>180</v>
      </c>
      <c r="B15" s="50" t="s">
        <v>181</v>
      </c>
      <c r="C15" s="50" t="s">
        <v>171</v>
      </c>
      <c r="D15" s="51" t="n">
        <v>5180</v>
      </c>
      <c r="E15" s="52" t="n">
        <v>0</v>
      </c>
      <c r="F15" s="51" t="n">
        <f aca="false">+D15*(1+E15)</f>
        <v>5180</v>
      </c>
    </row>
    <row r="16" customFormat="false" ht="16.5" hidden="false" customHeight="false" outlineLevel="0" collapsed="false">
      <c r="A16" s="49" t="s">
        <v>182</v>
      </c>
      <c r="B16" s="50" t="s">
        <v>183</v>
      </c>
      <c r="C16" s="50" t="s">
        <v>171</v>
      </c>
      <c r="D16" s="51" t="n">
        <v>5190</v>
      </c>
      <c r="E16" s="52" t="n">
        <v>0</v>
      </c>
      <c r="F16" s="51" t="n">
        <f aca="false">+D16*(1+E16)</f>
        <v>5190</v>
      </c>
    </row>
    <row r="17" customFormat="false" ht="16.5" hidden="false" customHeight="false" outlineLevel="0" collapsed="false">
      <c r="A17" s="49" t="s">
        <v>184</v>
      </c>
      <c r="B17" s="50" t="s">
        <v>185</v>
      </c>
      <c r="C17" s="50" t="s">
        <v>171</v>
      </c>
      <c r="D17" s="51" t="n">
        <v>5180</v>
      </c>
      <c r="E17" s="52" t="n">
        <v>0</v>
      </c>
      <c r="F17" s="51" t="n">
        <f aca="false">+D17*(1+E17)</f>
        <v>5180</v>
      </c>
    </row>
    <row r="18" customFormat="false" ht="16.5" hidden="false" customHeight="false" outlineLevel="0" collapsed="false">
      <c r="A18" s="49" t="s">
        <v>186</v>
      </c>
      <c r="B18" s="50" t="s">
        <v>187</v>
      </c>
      <c r="C18" s="50" t="s">
        <v>171</v>
      </c>
      <c r="D18" s="51" t="n">
        <v>5160</v>
      </c>
      <c r="E18" s="52" t="n">
        <v>0</v>
      </c>
      <c r="F18" s="51" t="n">
        <f aca="false">+D18*(1+E18)</f>
        <v>5160</v>
      </c>
    </row>
    <row r="19" customFormat="false" ht="16.5" hidden="false" customHeight="false" outlineLevel="0" collapsed="false">
      <c r="A19" s="49" t="s">
        <v>188</v>
      </c>
      <c r="B19" s="50" t="s">
        <v>189</v>
      </c>
      <c r="C19" s="50" t="s">
        <v>14</v>
      </c>
      <c r="D19" s="51" t="n">
        <v>1810</v>
      </c>
      <c r="E19" s="52" t="n">
        <v>0</v>
      </c>
      <c r="F19" s="51" t="n">
        <f aca="false">+D19*(1+E19)</f>
        <v>1810</v>
      </c>
    </row>
    <row r="20" customFormat="false" ht="16.5" hidden="false" customHeight="false" outlineLevel="0" collapsed="false">
      <c r="A20" s="49" t="s">
        <v>190</v>
      </c>
      <c r="B20" s="50" t="s">
        <v>191</v>
      </c>
      <c r="C20" s="50" t="s">
        <v>14</v>
      </c>
      <c r="D20" s="51" t="n">
        <v>1810</v>
      </c>
      <c r="E20" s="52" t="n">
        <v>0</v>
      </c>
      <c r="F20" s="51" t="n">
        <f aca="false">+D20*(1+E20)</f>
        <v>1810</v>
      </c>
      <c r="K20" s="53"/>
      <c r="L20" s="53"/>
      <c r="M20" s="53"/>
      <c r="N20" s="54"/>
      <c r="O20" s="55"/>
      <c r="P20" s="54"/>
    </row>
    <row r="21" customFormat="false" ht="16.5" hidden="false" customHeight="false" outlineLevel="0" collapsed="false">
      <c r="A21" s="49" t="s">
        <v>192</v>
      </c>
      <c r="B21" s="50" t="s">
        <v>193</v>
      </c>
      <c r="C21" s="50" t="s">
        <v>14</v>
      </c>
      <c r="D21" s="51" t="n">
        <v>4608</v>
      </c>
      <c r="E21" s="52" t="n">
        <v>0</v>
      </c>
      <c r="F21" s="51" t="n">
        <f aca="false">+D21*(1+E21)</f>
        <v>4608</v>
      </c>
      <c r="K21" s="56"/>
      <c r="L21" s="53"/>
      <c r="M21" s="53"/>
      <c r="N21" s="54"/>
      <c r="O21" s="55"/>
      <c r="P21" s="54"/>
    </row>
    <row r="22" customFormat="false" ht="16.5" hidden="false" customHeight="false" outlineLevel="0" collapsed="false">
      <c r="A22" s="49" t="s">
        <v>194</v>
      </c>
      <c r="B22" s="50" t="s">
        <v>195</v>
      </c>
      <c r="C22" s="50" t="s">
        <v>14</v>
      </c>
      <c r="D22" s="51" t="n">
        <v>4608</v>
      </c>
      <c r="E22" s="52" t="n">
        <v>0</v>
      </c>
      <c r="F22" s="51" t="n">
        <f aca="false">+D22*(1+E22)</f>
        <v>4608</v>
      </c>
      <c r="K22" s="53"/>
      <c r="L22" s="53"/>
      <c r="M22" s="53"/>
      <c r="N22" s="57"/>
      <c r="O22" s="55"/>
      <c r="P22" s="54"/>
    </row>
    <row r="23" customFormat="false" ht="16.5" hidden="false" customHeight="false" outlineLevel="0" collapsed="false">
      <c r="A23" s="49" t="s">
        <v>196</v>
      </c>
      <c r="B23" s="50" t="s">
        <v>197</v>
      </c>
      <c r="C23" s="50" t="s">
        <v>14</v>
      </c>
      <c r="D23" s="51" t="n">
        <v>3760</v>
      </c>
      <c r="E23" s="52" t="n">
        <v>0</v>
      </c>
      <c r="F23" s="51" t="n">
        <f aca="false">+D23*(1+E23)</f>
        <v>3760</v>
      </c>
      <c r="K23" s="53"/>
      <c r="L23" s="53"/>
      <c r="M23" s="58"/>
      <c r="N23" s="54"/>
      <c r="O23" s="55"/>
      <c r="P23" s="54"/>
    </row>
    <row r="24" customFormat="false" ht="16.5" hidden="false" customHeight="false" outlineLevel="0" collapsed="false">
      <c r="A24" s="49" t="s">
        <v>198</v>
      </c>
      <c r="B24" s="50" t="s">
        <v>199</v>
      </c>
      <c r="C24" s="50" t="s">
        <v>14</v>
      </c>
      <c r="D24" s="51" t="n">
        <v>4783</v>
      </c>
      <c r="E24" s="52" t="n">
        <v>0</v>
      </c>
      <c r="F24" s="51" t="n">
        <f aca="false">+D24*(1+E24)</f>
        <v>4783</v>
      </c>
      <c r="K24" s="53"/>
      <c r="L24" s="53"/>
      <c r="M24" s="58"/>
      <c r="N24" s="54"/>
      <c r="O24" s="55"/>
      <c r="P24" s="54"/>
    </row>
    <row r="25" customFormat="false" ht="16.5" hidden="false" customHeight="false" outlineLevel="0" collapsed="false">
      <c r="A25" s="49" t="s">
        <v>200</v>
      </c>
      <c r="B25" s="50" t="s">
        <v>201</v>
      </c>
      <c r="C25" s="50" t="s">
        <v>14</v>
      </c>
      <c r="D25" s="51" t="n">
        <v>6410</v>
      </c>
      <c r="E25" s="52" t="n">
        <v>0</v>
      </c>
      <c r="F25" s="51" t="n">
        <f aca="false">+D25*(1+E25)</f>
        <v>6410</v>
      </c>
      <c r="K25" s="53"/>
      <c r="L25" s="53"/>
      <c r="M25" s="58"/>
      <c r="N25" s="54"/>
      <c r="O25" s="55"/>
      <c r="P25" s="54"/>
    </row>
    <row r="26" customFormat="false" ht="16.5" hidden="false" customHeight="false" outlineLevel="0" collapsed="false">
      <c r="A26" s="49" t="s">
        <v>202</v>
      </c>
      <c r="B26" s="50" t="s">
        <v>203</v>
      </c>
      <c r="C26" s="50" t="s">
        <v>14</v>
      </c>
      <c r="D26" s="51" t="n">
        <v>3506</v>
      </c>
      <c r="E26" s="52" t="n">
        <v>0</v>
      </c>
      <c r="F26" s="51" t="n">
        <f aca="false">+D26*(1+E26)</f>
        <v>3506</v>
      </c>
      <c r="K26" s="53"/>
      <c r="L26" s="53"/>
      <c r="M26" s="58"/>
      <c r="N26" s="57"/>
      <c r="O26" s="59"/>
      <c r="P26" s="54"/>
    </row>
    <row r="27" customFormat="false" ht="16.5" hidden="false" customHeight="false" outlineLevel="0" collapsed="false">
      <c r="A27" s="49" t="s">
        <v>204</v>
      </c>
      <c r="B27" s="50" t="s">
        <v>205</v>
      </c>
      <c r="C27" s="50" t="s">
        <v>14</v>
      </c>
      <c r="D27" s="51" t="n">
        <v>3030</v>
      </c>
      <c r="E27" s="52" t="n">
        <v>0</v>
      </c>
      <c r="F27" s="51" t="n">
        <f aca="false">+D27*(1+E27)</f>
        <v>3030</v>
      </c>
      <c r="K27" s="53"/>
      <c r="L27" s="53"/>
      <c r="M27" s="58"/>
      <c r="N27" s="57"/>
      <c r="O27" s="59"/>
      <c r="P27" s="54"/>
    </row>
    <row r="28" customFormat="false" ht="16.5" hidden="false" customHeight="false" outlineLevel="0" collapsed="false">
      <c r="A28" s="49" t="s">
        <v>206</v>
      </c>
      <c r="B28" s="50" t="s">
        <v>207</v>
      </c>
      <c r="C28" s="50" t="s">
        <v>14</v>
      </c>
      <c r="D28" s="51" t="n">
        <v>3550</v>
      </c>
      <c r="E28" s="52" t="n">
        <v>0</v>
      </c>
      <c r="F28" s="51" t="n">
        <f aca="false">+D28*(1+E28)</f>
        <v>3550</v>
      </c>
      <c r="K28" s="53"/>
      <c r="L28" s="53"/>
      <c r="M28" s="58"/>
      <c r="N28" s="60"/>
      <c r="O28" s="59"/>
      <c r="P28" s="60"/>
    </row>
    <row r="29" customFormat="false" ht="16.5" hidden="false" customHeight="false" outlineLevel="0" collapsed="false">
      <c r="A29" s="49" t="s">
        <v>208</v>
      </c>
      <c r="B29" s="50" t="s">
        <v>209</v>
      </c>
      <c r="C29" s="50" t="s">
        <v>14</v>
      </c>
      <c r="D29" s="51" t="n">
        <v>3370</v>
      </c>
      <c r="E29" s="52" t="n">
        <v>0</v>
      </c>
      <c r="F29" s="51" t="n">
        <f aca="false">+D29*(1+E29)</f>
        <v>3370</v>
      </c>
      <c r="K29" s="53"/>
      <c r="L29" s="53"/>
      <c r="M29" s="58"/>
      <c r="N29" s="60"/>
      <c r="O29" s="59"/>
      <c r="P29" s="60"/>
    </row>
    <row r="30" customFormat="false" ht="16.5" hidden="false" customHeight="false" outlineLevel="0" collapsed="false">
      <c r="A30" s="49" t="s">
        <v>210</v>
      </c>
      <c r="B30" s="50" t="s">
        <v>211</v>
      </c>
      <c r="C30" s="50" t="s">
        <v>14</v>
      </c>
      <c r="D30" s="51" t="n">
        <v>3550</v>
      </c>
      <c r="E30" s="52" t="n">
        <v>0</v>
      </c>
      <c r="F30" s="51" t="n">
        <f aca="false">+D30*(1+E30)</f>
        <v>3550</v>
      </c>
      <c r="K30" s="53"/>
      <c r="L30" s="53"/>
      <c r="M30" s="53"/>
      <c r="N30" s="54"/>
      <c r="O30" s="55"/>
      <c r="P30" s="54"/>
    </row>
    <row r="31" customFormat="false" ht="16.5" hidden="false" customHeight="false" outlineLevel="0" collapsed="false">
      <c r="A31" s="49" t="s">
        <v>212</v>
      </c>
      <c r="B31" s="50" t="s">
        <v>213</v>
      </c>
      <c r="C31" s="50" t="s">
        <v>14</v>
      </c>
      <c r="D31" s="51" t="n">
        <v>3506</v>
      </c>
      <c r="E31" s="52" t="n">
        <v>0</v>
      </c>
      <c r="F31" s="51" t="n">
        <f aca="false">+D31*(1+E31)</f>
        <v>3506</v>
      </c>
      <c r="K31" s="53"/>
      <c r="L31" s="53"/>
      <c r="M31" s="53"/>
      <c r="N31" s="54"/>
      <c r="O31" s="55"/>
      <c r="P31" s="54"/>
    </row>
    <row r="32" customFormat="false" ht="15.75" hidden="false" customHeight="false" outlineLevel="0" collapsed="false">
      <c r="A32" s="61"/>
      <c r="B32" s="62"/>
      <c r="C32" s="62"/>
      <c r="D32" s="54"/>
      <c r="E32" s="63"/>
      <c r="F32" s="54"/>
      <c r="K32" s="53"/>
      <c r="L32" s="53"/>
      <c r="M32" s="53"/>
      <c r="N32" s="57"/>
      <c r="O32" s="55"/>
      <c r="P32" s="54"/>
    </row>
    <row r="33" customFormat="false" ht="19.5" hidden="false" customHeight="false" outlineLevel="0" collapsed="false">
      <c r="A33" s="43" t="s">
        <v>214</v>
      </c>
      <c r="B33" s="43"/>
      <c r="C33" s="43"/>
      <c r="D33" s="43"/>
      <c r="E33" s="43"/>
      <c r="K33" s="64"/>
      <c r="L33" s="64"/>
      <c r="M33" s="64"/>
      <c r="N33" s="64"/>
      <c r="O33" s="64"/>
      <c r="P33" s="64"/>
    </row>
    <row r="34" customFormat="false" ht="31.5" hidden="false" customHeight="false" outlineLevel="0" collapsed="false">
      <c r="A34" s="44" t="s">
        <v>167</v>
      </c>
      <c r="B34" s="45" t="s">
        <v>168</v>
      </c>
      <c r="C34" s="45" t="s">
        <v>9</v>
      </c>
      <c r="D34" s="46" t="s">
        <v>10</v>
      </c>
      <c r="E34" s="47" t="s">
        <v>11</v>
      </c>
      <c r="F34" s="48" t="s">
        <v>169</v>
      </c>
    </row>
    <row r="35" customFormat="false" ht="16.5" hidden="false" customHeight="false" outlineLevel="0" collapsed="false">
      <c r="A35" s="49" t="n">
        <v>1007</v>
      </c>
      <c r="B35" s="50" t="s">
        <v>215</v>
      </c>
      <c r="C35" s="50" t="s">
        <v>9</v>
      </c>
      <c r="D35" s="51" t="n">
        <v>7580</v>
      </c>
      <c r="E35" s="52" t="n">
        <v>0.19</v>
      </c>
      <c r="F35" s="51" t="n">
        <f aca="false">+D35*(1+E35)</f>
        <v>9020.2</v>
      </c>
    </row>
    <row r="36" customFormat="false" ht="16.5" hidden="false" customHeight="false" outlineLevel="0" collapsed="false">
      <c r="A36" s="49" t="s">
        <v>216</v>
      </c>
      <c r="B36" s="50" t="s">
        <v>217</v>
      </c>
      <c r="C36" s="50" t="s">
        <v>9</v>
      </c>
      <c r="D36" s="51" t="n">
        <v>1319</v>
      </c>
      <c r="E36" s="52" t="n">
        <v>0.19</v>
      </c>
      <c r="F36" s="51" t="n">
        <f aca="false">+D36*(1+E36)</f>
        <v>1569.61</v>
      </c>
    </row>
    <row r="37" customFormat="false" ht="16.5" hidden="false" customHeight="false" outlineLevel="0" collapsed="false">
      <c r="A37" s="49" t="s">
        <v>218</v>
      </c>
      <c r="B37" s="50" t="s">
        <v>219</v>
      </c>
      <c r="C37" s="50" t="s">
        <v>9</v>
      </c>
      <c r="D37" s="51" t="n">
        <v>1319</v>
      </c>
      <c r="E37" s="52" t="n">
        <v>0.19</v>
      </c>
      <c r="F37" s="51" t="n">
        <f aca="false">+D37*(1+E37)</f>
        <v>1569.61</v>
      </c>
    </row>
    <row r="38" customFormat="false" ht="13.5" hidden="false" customHeight="true" outlineLevel="0" collapsed="false">
      <c r="A38" s="49" t="s">
        <v>220</v>
      </c>
      <c r="B38" s="50" t="s">
        <v>221</v>
      </c>
      <c r="C38" s="50" t="s">
        <v>171</v>
      </c>
      <c r="D38" s="51" t="n">
        <v>10782</v>
      </c>
      <c r="E38" s="52" t="n">
        <v>0.19</v>
      </c>
      <c r="F38" s="51" t="n">
        <f aca="false">+D38*(1+E38)</f>
        <v>12830.58</v>
      </c>
    </row>
    <row r="39" customFormat="false" ht="16.5" hidden="false" customHeight="false" outlineLevel="0" collapsed="false">
      <c r="A39" s="49" t="s">
        <v>222</v>
      </c>
      <c r="B39" s="50" t="s">
        <v>223</v>
      </c>
      <c r="C39" s="50" t="s">
        <v>171</v>
      </c>
      <c r="D39" s="51" t="n">
        <v>1924</v>
      </c>
      <c r="E39" s="52" t="n">
        <v>0.19</v>
      </c>
      <c r="F39" s="51" t="n">
        <f aca="false">+D39*(1+E39)</f>
        <v>2289.56</v>
      </c>
    </row>
    <row r="40" customFormat="false" ht="16.5" hidden="false" customHeight="false" outlineLevel="0" collapsed="false">
      <c r="A40" s="49" t="s">
        <v>224</v>
      </c>
      <c r="B40" s="50" t="s">
        <v>225</v>
      </c>
      <c r="C40" s="50" t="s">
        <v>171</v>
      </c>
      <c r="D40" s="51" t="n">
        <v>1924</v>
      </c>
      <c r="E40" s="52" t="n">
        <v>0.19</v>
      </c>
      <c r="F40" s="51" t="n">
        <f aca="false">+D40*(1+E40)</f>
        <v>2289.56</v>
      </c>
    </row>
    <row r="41" customFormat="false" ht="16.5" hidden="false" customHeight="false" outlineLevel="0" collapsed="false">
      <c r="A41" s="49" t="s">
        <v>226</v>
      </c>
      <c r="B41" s="50" t="s">
        <v>227</v>
      </c>
      <c r="C41" s="50" t="s">
        <v>171</v>
      </c>
      <c r="D41" s="51" t="n">
        <v>1924</v>
      </c>
      <c r="E41" s="52" t="n">
        <v>0.19</v>
      </c>
      <c r="F41" s="51" t="n">
        <f aca="false">+D41*(1+E41)</f>
        <v>2289.56</v>
      </c>
    </row>
    <row r="42" customFormat="false" ht="16.5" hidden="false" customHeight="false" outlineLevel="0" collapsed="false">
      <c r="A42" s="49" t="s">
        <v>228</v>
      </c>
      <c r="B42" s="50" t="s">
        <v>229</v>
      </c>
      <c r="C42" s="50" t="s">
        <v>9</v>
      </c>
      <c r="D42" s="51" t="n">
        <v>1779</v>
      </c>
      <c r="E42" s="52" t="n">
        <v>0.19</v>
      </c>
      <c r="F42" s="51" t="n">
        <f aca="false">+D42*(1+E42)</f>
        <v>2117.01</v>
      </c>
    </row>
    <row r="43" customFormat="false" ht="16.5" hidden="false" customHeight="false" outlineLevel="0" collapsed="false">
      <c r="A43" s="49" t="s">
        <v>230</v>
      </c>
      <c r="B43" s="50" t="s">
        <v>231</v>
      </c>
      <c r="C43" s="50" t="s">
        <v>171</v>
      </c>
      <c r="D43" s="51" t="n">
        <v>1710</v>
      </c>
      <c r="E43" s="52" t="n">
        <v>0.19</v>
      </c>
      <c r="F43" s="51" t="n">
        <f aca="false">+D43*(1+E43)</f>
        <v>2034.9</v>
      </c>
    </row>
    <row r="44" customFormat="false" ht="16.5" hidden="false" customHeight="false" outlineLevel="0" collapsed="false">
      <c r="A44" s="49" t="s">
        <v>232</v>
      </c>
      <c r="B44" s="50" t="s">
        <v>233</v>
      </c>
      <c r="C44" s="50" t="s">
        <v>171</v>
      </c>
      <c r="D44" s="51" t="n">
        <v>10782</v>
      </c>
      <c r="E44" s="52" t="n">
        <v>0.19</v>
      </c>
      <c r="F44" s="51" t="n">
        <f aca="false">+D44*(1+E44)</f>
        <v>12830.58</v>
      </c>
    </row>
    <row r="45" customFormat="false" ht="16.5" hidden="false" customHeight="false" outlineLevel="0" collapsed="false">
      <c r="A45" s="49" t="s">
        <v>234</v>
      </c>
      <c r="B45" s="50" t="s">
        <v>235</v>
      </c>
      <c r="C45" s="50" t="s">
        <v>9</v>
      </c>
      <c r="D45" s="51" t="n">
        <v>7580</v>
      </c>
      <c r="E45" s="52" t="n">
        <v>0.19</v>
      </c>
      <c r="F45" s="51" t="n">
        <f aca="false">+D45*(1+E45)</f>
        <v>9020.2</v>
      </c>
    </row>
    <row r="46" customFormat="false" ht="16.5" hidden="false" customHeight="false" outlineLevel="0" collapsed="false">
      <c r="A46" s="49" t="s">
        <v>236</v>
      </c>
      <c r="B46" s="50" t="s">
        <v>237</v>
      </c>
      <c r="C46" s="50" t="s">
        <v>9</v>
      </c>
      <c r="D46" s="51" t="n">
        <v>1779</v>
      </c>
      <c r="E46" s="52" t="n">
        <v>0.19</v>
      </c>
      <c r="F46" s="51" t="n">
        <f aca="false">+D46*(1+E46)</f>
        <v>2117.01</v>
      </c>
    </row>
    <row r="47" customFormat="false" ht="16.5" hidden="false" customHeight="false" outlineLevel="0" collapsed="false">
      <c r="A47" s="49" t="s">
        <v>238</v>
      </c>
      <c r="B47" s="50" t="s">
        <v>239</v>
      </c>
      <c r="C47" s="50" t="s">
        <v>171</v>
      </c>
      <c r="D47" s="51" t="n">
        <v>5767</v>
      </c>
      <c r="E47" s="52" t="n">
        <v>0.19</v>
      </c>
      <c r="F47" s="51" t="n">
        <f aca="false">+D47*(1+E47)</f>
        <v>6862.73</v>
      </c>
    </row>
    <row r="48" customFormat="false" ht="16.5" hidden="false" customHeight="false" outlineLevel="0" collapsed="false">
      <c r="A48" s="49" t="s">
        <v>240</v>
      </c>
      <c r="B48" s="50" t="s">
        <v>241</v>
      </c>
      <c r="C48" s="50" t="s">
        <v>9</v>
      </c>
      <c r="D48" s="51" t="n">
        <v>5168</v>
      </c>
      <c r="E48" s="52" t="n">
        <v>0.19</v>
      </c>
      <c r="F48" s="51" t="n">
        <f aca="false">+D48*(1+E48)</f>
        <v>6149.92</v>
      </c>
    </row>
    <row r="49" customFormat="false" ht="15.75" hidden="false" customHeight="false" outlineLevel="0" collapsed="false"/>
    <row r="50" customFormat="false" ht="19.5" hidden="false" customHeight="false" outlineLevel="0" collapsed="false">
      <c r="A50" s="43" t="s">
        <v>242</v>
      </c>
      <c r="B50" s="43"/>
      <c r="C50" s="43"/>
      <c r="D50" s="43"/>
      <c r="E50" s="43"/>
    </row>
    <row r="51" customFormat="false" ht="31.5" hidden="false" customHeight="false" outlineLevel="0" collapsed="false">
      <c r="A51" s="44" t="s">
        <v>167</v>
      </c>
      <c r="B51" s="45" t="s">
        <v>168</v>
      </c>
      <c r="C51" s="45" t="s">
        <v>9</v>
      </c>
      <c r="D51" s="46" t="s">
        <v>10</v>
      </c>
      <c r="E51" s="47" t="s">
        <v>11</v>
      </c>
      <c r="F51" s="48" t="s">
        <v>169</v>
      </c>
    </row>
    <row r="52" customFormat="false" ht="16.5" hidden="false" customHeight="false" outlineLevel="0" collapsed="false">
      <c r="A52" s="49" t="s">
        <v>243</v>
      </c>
      <c r="B52" s="50" t="s">
        <v>244</v>
      </c>
      <c r="C52" s="50" t="s">
        <v>51</v>
      </c>
      <c r="D52" s="51" t="n">
        <v>171504</v>
      </c>
      <c r="E52" s="52" t="n">
        <v>0.19</v>
      </c>
      <c r="F52" s="51" t="n">
        <f aca="false">+D52*(1+E52)</f>
        <v>204089.76</v>
      </c>
    </row>
    <row r="53" customFormat="false" ht="16.5" hidden="false" customHeight="false" outlineLevel="0" collapsed="false">
      <c r="A53" s="49" t="n">
        <v>575</v>
      </c>
      <c r="B53" s="50" t="s">
        <v>245</v>
      </c>
      <c r="C53" s="50" t="s">
        <v>47</v>
      </c>
      <c r="D53" s="51" t="n">
        <v>715975</v>
      </c>
      <c r="E53" s="52" t="n">
        <v>0</v>
      </c>
      <c r="F53" s="51" t="n">
        <f aca="false">+D53*(1+E53)</f>
        <v>715975</v>
      </c>
    </row>
    <row r="54" customFormat="false" ht="16.5" hidden="false" customHeight="false" outlineLevel="0" collapsed="false">
      <c r="A54" s="49" t="s">
        <v>246</v>
      </c>
      <c r="B54" s="50" t="s">
        <v>247</v>
      </c>
      <c r="C54" s="50" t="s">
        <v>47</v>
      </c>
      <c r="D54" s="51" t="n">
        <v>444500</v>
      </c>
      <c r="E54" s="52" t="n">
        <v>0</v>
      </c>
      <c r="F54" s="51" t="n">
        <f aca="false">+D54*(1+E54)</f>
        <v>444500</v>
      </c>
    </row>
    <row r="55" customFormat="false" ht="16.5" hidden="false" customHeight="false" outlineLevel="0" collapsed="false">
      <c r="A55" s="49" t="s">
        <v>248</v>
      </c>
      <c r="B55" s="50" t="s">
        <v>249</v>
      </c>
      <c r="C55" s="50" t="s">
        <v>51</v>
      </c>
      <c r="D55" s="51" t="n">
        <v>29360</v>
      </c>
      <c r="E55" s="52" t="n">
        <v>0</v>
      </c>
      <c r="F55" s="51" t="n">
        <f aca="false">+D55*(1+E55)</f>
        <v>29360</v>
      </c>
    </row>
    <row r="56" customFormat="false" ht="16.5" hidden="false" customHeight="false" outlineLevel="0" collapsed="false">
      <c r="A56" s="49" t="s">
        <v>250</v>
      </c>
      <c r="B56" s="50" t="s">
        <v>251</v>
      </c>
      <c r="C56" s="50" t="s">
        <v>51</v>
      </c>
      <c r="D56" s="51" t="n">
        <v>12860</v>
      </c>
      <c r="E56" s="52" t="n">
        <v>0</v>
      </c>
      <c r="F56" s="51" t="n">
        <f aca="false">+D56*(1+E56)</f>
        <v>12860</v>
      </c>
    </row>
    <row r="57" customFormat="false" ht="16.5" hidden="false" customHeight="false" outlineLevel="0" collapsed="false">
      <c r="A57" s="49" t="s">
        <v>252</v>
      </c>
      <c r="B57" s="50" t="s">
        <v>253</v>
      </c>
      <c r="C57" s="50" t="s">
        <v>136</v>
      </c>
      <c r="D57" s="51" t="n">
        <v>12680</v>
      </c>
      <c r="E57" s="52" t="n">
        <v>0</v>
      </c>
      <c r="F57" s="51" t="n">
        <f aca="false">+D57*(1+E57)</f>
        <v>12680</v>
      </c>
    </row>
    <row r="58" customFormat="false" ht="16.5" hidden="false" customHeight="false" outlineLevel="0" collapsed="false">
      <c r="A58" s="49" t="s">
        <v>254</v>
      </c>
      <c r="B58" s="50" t="s">
        <v>255</v>
      </c>
      <c r="C58" s="50" t="s">
        <v>51</v>
      </c>
      <c r="D58" s="51" t="n">
        <v>7210</v>
      </c>
      <c r="E58" s="52" t="n">
        <v>0</v>
      </c>
      <c r="F58" s="51" t="n">
        <f aca="false">+D58*(1+E58)</f>
        <v>7210</v>
      </c>
    </row>
    <row r="59" customFormat="false" ht="16.5" hidden="false" customHeight="false" outlineLevel="0" collapsed="false">
      <c r="A59" s="49" t="s">
        <v>256</v>
      </c>
      <c r="B59" s="50" t="s">
        <v>257</v>
      </c>
      <c r="C59" s="50" t="s">
        <v>47</v>
      </c>
      <c r="D59" s="51" t="n">
        <v>577800</v>
      </c>
      <c r="E59" s="52" t="n">
        <v>0</v>
      </c>
      <c r="F59" s="51" t="n">
        <f aca="false">+D59*(1+E59)</f>
        <v>577800</v>
      </c>
    </row>
    <row r="60" customFormat="false" ht="16.5" hidden="false" customHeight="false" outlineLevel="0" collapsed="false">
      <c r="A60" s="49" t="s">
        <v>258</v>
      </c>
      <c r="B60" s="50" t="s">
        <v>259</v>
      </c>
      <c r="C60" s="50" t="s">
        <v>51</v>
      </c>
      <c r="D60" s="51" t="n">
        <v>14520</v>
      </c>
      <c r="E60" s="52" t="n">
        <v>0</v>
      </c>
      <c r="F60" s="51" t="n">
        <f aca="false">+D60*(1+E60)</f>
        <v>14520</v>
      </c>
    </row>
    <row r="61" customFormat="false" ht="16.5" hidden="false" customHeight="false" outlineLevel="0" collapsed="false">
      <c r="A61" s="49" t="s">
        <v>260</v>
      </c>
      <c r="B61" s="50" t="s">
        <v>261</v>
      </c>
      <c r="C61" s="50" t="s">
        <v>51</v>
      </c>
      <c r="D61" s="51" t="n">
        <v>13390</v>
      </c>
      <c r="E61" s="52" t="n">
        <v>0</v>
      </c>
      <c r="F61" s="51" t="n">
        <f aca="false">+D61*(1+E61)</f>
        <v>13390</v>
      </c>
    </row>
    <row r="62" customFormat="false" ht="15.75" hidden="false" customHeight="false" outlineLevel="0" collapsed="false">
      <c r="A62" s="65"/>
      <c r="B62" s="66"/>
      <c r="C62" s="66"/>
      <c r="D62" s="67"/>
      <c r="E62" s="68"/>
      <c r="F62" s="66"/>
    </row>
    <row r="63" customFormat="false" ht="19.5" hidden="false" customHeight="false" outlineLevel="0" collapsed="false">
      <c r="A63" s="43" t="s">
        <v>262</v>
      </c>
      <c r="B63" s="43"/>
      <c r="C63" s="43"/>
      <c r="D63" s="43"/>
      <c r="E63" s="43"/>
    </row>
    <row r="64" customFormat="false" ht="31.5" hidden="false" customHeight="false" outlineLevel="0" collapsed="false">
      <c r="A64" s="44" t="s">
        <v>167</v>
      </c>
      <c r="B64" s="45" t="s">
        <v>168</v>
      </c>
      <c r="C64" s="45" t="s">
        <v>9</v>
      </c>
      <c r="D64" s="46" t="s">
        <v>10</v>
      </c>
      <c r="E64" s="47" t="s">
        <v>11</v>
      </c>
      <c r="F64" s="48" t="s">
        <v>169</v>
      </c>
    </row>
    <row r="65" customFormat="false" ht="16.5" hidden="false" customHeight="false" outlineLevel="0" collapsed="false">
      <c r="A65" s="49" t="s">
        <v>263</v>
      </c>
      <c r="B65" s="50" t="s">
        <v>264</v>
      </c>
      <c r="C65" s="50" t="s">
        <v>9</v>
      </c>
      <c r="D65" s="51" t="n">
        <v>3680</v>
      </c>
      <c r="E65" s="52" t="n">
        <v>0</v>
      </c>
      <c r="F65" s="51" t="n">
        <f aca="false">+D65*(1+E65)</f>
        <v>3680</v>
      </c>
    </row>
    <row r="66" customFormat="false" ht="16.5" hidden="false" customHeight="false" outlineLevel="0" collapsed="false">
      <c r="A66" s="49" t="s">
        <v>265</v>
      </c>
      <c r="B66" s="50" t="s">
        <v>266</v>
      </c>
      <c r="C66" s="50" t="s">
        <v>171</v>
      </c>
      <c r="D66" s="51" t="n">
        <v>78990</v>
      </c>
      <c r="E66" s="52" t="n">
        <v>0</v>
      </c>
      <c r="F66" s="51" t="n">
        <f aca="false">+D66*(1+E66)</f>
        <v>78990</v>
      </c>
    </row>
    <row r="67" customFormat="false" ht="16.5" hidden="false" customHeight="false" outlineLevel="0" collapsed="false">
      <c r="A67" s="49" t="s">
        <v>267</v>
      </c>
      <c r="B67" s="50" t="s">
        <v>268</v>
      </c>
      <c r="C67" s="50" t="s">
        <v>9</v>
      </c>
      <c r="D67" s="51" t="n">
        <v>8940</v>
      </c>
      <c r="E67" s="52" t="n">
        <v>0</v>
      </c>
      <c r="F67" s="51" t="n">
        <f aca="false">+D67*(1+E67)</f>
        <v>8940</v>
      </c>
    </row>
    <row r="68" customFormat="false" ht="16.5" hidden="false" customHeight="false" outlineLevel="0" collapsed="false">
      <c r="A68" s="49" t="s">
        <v>269</v>
      </c>
      <c r="B68" s="50" t="s">
        <v>270</v>
      </c>
      <c r="C68" s="50" t="s">
        <v>9</v>
      </c>
      <c r="D68" s="51" t="n">
        <v>5340</v>
      </c>
      <c r="E68" s="52" t="n">
        <v>0</v>
      </c>
      <c r="F68" s="51" t="n">
        <f aca="false">+D68*(1+E68)</f>
        <v>5340</v>
      </c>
    </row>
    <row r="69" customFormat="false" ht="16.5" hidden="false" customHeight="false" outlineLevel="0" collapsed="false">
      <c r="A69" s="49" t="s">
        <v>271</v>
      </c>
      <c r="B69" s="50" t="s">
        <v>272</v>
      </c>
      <c r="C69" s="50" t="s">
        <v>9</v>
      </c>
      <c r="D69" s="51" t="n">
        <v>6620</v>
      </c>
      <c r="E69" s="52" t="n">
        <v>0</v>
      </c>
      <c r="F69" s="51" t="n">
        <f aca="false">+D69*(1+E69)</f>
        <v>6620</v>
      </c>
    </row>
    <row r="70" customFormat="false" ht="16.5" hidden="false" customHeight="false" outlineLevel="0" collapsed="false">
      <c r="A70" s="49" t="s">
        <v>273</v>
      </c>
      <c r="B70" s="50" t="s">
        <v>274</v>
      </c>
      <c r="C70" s="50" t="s">
        <v>171</v>
      </c>
      <c r="D70" s="51" t="n">
        <v>15460</v>
      </c>
      <c r="E70" s="52" t="n">
        <v>0</v>
      </c>
      <c r="F70" s="51" t="n">
        <f aca="false">+D70*(1+E70)</f>
        <v>15460</v>
      </c>
    </row>
    <row r="71" customFormat="false" ht="16.5" hidden="false" customHeight="false" outlineLevel="0" collapsed="false">
      <c r="A71" s="49" t="s">
        <v>275</v>
      </c>
      <c r="B71" s="50" t="s">
        <v>276</v>
      </c>
      <c r="C71" s="50" t="s">
        <v>171</v>
      </c>
      <c r="D71" s="51" t="n">
        <v>69630</v>
      </c>
      <c r="E71" s="52" t="n">
        <v>0.19</v>
      </c>
      <c r="F71" s="51" t="n">
        <f aca="false">+D71*(1+E71)</f>
        <v>82859.7</v>
      </c>
    </row>
    <row r="72" customFormat="false" ht="16.5" hidden="false" customHeight="false" outlineLevel="0" collapsed="false">
      <c r="A72" s="49" t="s">
        <v>277</v>
      </c>
      <c r="B72" s="50" t="s">
        <v>278</v>
      </c>
      <c r="C72" s="50" t="s">
        <v>9</v>
      </c>
      <c r="D72" s="51" t="n">
        <v>8975</v>
      </c>
      <c r="E72" s="52" t="n">
        <v>0.19</v>
      </c>
      <c r="F72" s="51" t="n">
        <f aca="false">+D72*(1+E72)</f>
        <v>10680.25</v>
      </c>
    </row>
    <row r="73" customFormat="false" ht="16.5" hidden="false" customHeight="false" outlineLevel="0" collapsed="false">
      <c r="A73" s="49" t="s">
        <v>279</v>
      </c>
      <c r="B73" s="50" t="s">
        <v>280</v>
      </c>
      <c r="C73" s="50" t="s">
        <v>9</v>
      </c>
      <c r="D73" s="51" t="n">
        <v>5218</v>
      </c>
      <c r="E73" s="52" t="n">
        <v>0.19</v>
      </c>
      <c r="F73" s="51" t="n">
        <f aca="false">+D73*(1+E73)</f>
        <v>6209.42</v>
      </c>
    </row>
    <row r="74" customFormat="false" ht="16.5" hidden="false" customHeight="false" outlineLevel="0" collapsed="false">
      <c r="A74" s="49" t="s">
        <v>281</v>
      </c>
      <c r="B74" s="50" t="s">
        <v>282</v>
      </c>
      <c r="C74" s="50" t="s">
        <v>9</v>
      </c>
      <c r="D74" s="51" t="n">
        <v>5042</v>
      </c>
      <c r="E74" s="52" t="n">
        <v>0.19</v>
      </c>
      <c r="F74" s="51" t="n">
        <f aca="false">+D74*(1+E74)</f>
        <v>5999.98</v>
      </c>
    </row>
    <row r="75" customFormat="false" ht="15.75" hidden="false" customHeight="false" outlineLevel="0" collapsed="false">
      <c r="B75" s="40"/>
      <c r="C75" s="40"/>
      <c r="D75" s="40"/>
      <c r="E75" s="40"/>
    </row>
    <row r="76" customFormat="false" ht="15" hidden="false" customHeight="false" outlineLevel="0" collapsed="false">
      <c r="B76" s="41"/>
    </row>
    <row r="77" customFormat="false" ht="19.5" hidden="false" customHeight="false" outlineLevel="0" collapsed="false">
      <c r="A77" s="69" t="s">
        <v>283</v>
      </c>
      <c r="B77" s="69"/>
      <c r="C77" s="69"/>
      <c r="D77" s="69"/>
      <c r="E77" s="69"/>
    </row>
    <row r="78" customFormat="false" ht="31.5" hidden="false" customHeight="false" outlineLevel="0" collapsed="false">
      <c r="A78" s="44" t="s">
        <v>167</v>
      </c>
      <c r="B78" s="45" t="s">
        <v>168</v>
      </c>
      <c r="C78" s="45" t="s">
        <v>9</v>
      </c>
      <c r="D78" s="46" t="s">
        <v>10</v>
      </c>
      <c r="E78" s="47" t="s">
        <v>11</v>
      </c>
      <c r="F78" s="48" t="s">
        <v>169</v>
      </c>
    </row>
    <row r="79" customFormat="false" ht="16.5" hidden="false" customHeight="false" outlineLevel="0" collapsed="false">
      <c r="A79" s="49" t="s">
        <v>284</v>
      </c>
      <c r="B79" s="50" t="s">
        <v>285</v>
      </c>
      <c r="C79" s="50" t="s">
        <v>286</v>
      </c>
      <c r="D79" s="51" t="n">
        <v>26320</v>
      </c>
      <c r="E79" s="52" t="n">
        <v>0</v>
      </c>
      <c r="F79" s="51" t="n">
        <f aca="false">+D79*(1+E79)</f>
        <v>26320</v>
      </c>
    </row>
    <row r="80" customFormat="false" ht="16.5" hidden="false" customHeight="false" outlineLevel="0" collapsed="false">
      <c r="A80" s="49" t="s">
        <v>287</v>
      </c>
      <c r="B80" s="50" t="s">
        <v>288</v>
      </c>
      <c r="C80" s="50" t="s">
        <v>286</v>
      </c>
      <c r="D80" s="51" t="n">
        <v>26410</v>
      </c>
      <c r="E80" s="52" t="n">
        <v>0</v>
      </c>
      <c r="F80" s="51" t="n">
        <f aca="false">+D80*(1+E80)</f>
        <v>26410</v>
      </c>
    </row>
    <row r="81" customFormat="false" ht="16.5" hidden="false" customHeight="false" outlineLevel="0" collapsed="false">
      <c r="A81" s="49" t="s">
        <v>289</v>
      </c>
      <c r="B81" s="50" t="s">
        <v>290</v>
      </c>
      <c r="C81" s="50" t="s">
        <v>286</v>
      </c>
      <c r="D81" s="51" t="n">
        <v>30820</v>
      </c>
      <c r="E81" s="52" t="n">
        <v>0</v>
      </c>
      <c r="F81" s="51" t="n">
        <f aca="false">+D81*(1+E81)</f>
        <v>30820</v>
      </c>
    </row>
    <row r="82" customFormat="false" ht="16.5" hidden="false" customHeight="false" outlineLevel="0" collapsed="false">
      <c r="A82" s="49" t="s">
        <v>291</v>
      </c>
      <c r="B82" s="50" t="s">
        <v>292</v>
      </c>
      <c r="C82" s="50" t="s">
        <v>286</v>
      </c>
      <c r="D82" s="51" t="n">
        <v>32290</v>
      </c>
      <c r="E82" s="52" t="n">
        <v>0</v>
      </c>
      <c r="F82" s="51" t="n">
        <f aca="false">+D82*(1+E82)</f>
        <v>32290</v>
      </c>
    </row>
    <row r="83" customFormat="false" ht="16.5" hidden="false" customHeight="false" outlineLevel="0" collapsed="false">
      <c r="A83" s="49" t="s">
        <v>293</v>
      </c>
      <c r="B83" s="50" t="s">
        <v>294</v>
      </c>
      <c r="C83" s="50" t="s">
        <v>286</v>
      </c>
      <c r="D83" s="51" t="n">
        <v>32070</v>
      </c>
      <c r="E83" s="52" t="n">
        <v>0</v>
      </c>
      <c r="F83" s="51" t="n">
        <f aca="false">+D83*(1+E83)</f>
        <v>32070</v>
      </c>
    </row>
    <row r="84" customFormat="false" ht="16.5" hidden="false" customHeight="false" outlineLevel="0" collapsed="false">
      <c r="A84" s="49" t="s">
        <v>295</v>
      </c>
      <c r="B84" s="50" t="s">
        <v>296</v>
      </c>
      <c r="C84" s="50" t="s">
        <v>286</v>
      </c>
      <c r="D84" s="51" t="n">
        <v>63496</v>
      </c>
      <c r="E84" s="52" t="n">
        <v>0</v>
      </c>
      <c r="F84" s="51" t="n">
        <f aca="false">+D84*(1+E84)</f>
        <v>63496</v>
      </c>
    </row>
    <row r="85" customFormat="false" ht="16.5" hidden="false" customHeight="false" outlineLevel="0" collapsed="false">
      <c r="A85" s="49" t="s">
        <v>297</v>
      </c>
      <c r="B85" s="50" t="s">
        <v>298</v>
      </c>
      <c r="C85" s="50" t="s">
        <v>286</v>
      </c>
      <c r="D85" s="51" t="n">
        <v>69546</v>
      </c>
      <c r="E85" s="52" t="n">
        <v>0</v>
      </c>
      <c r="F85" s="51" t="n">
        <f aca="false">+D85*(1+E85)</f>
        <v>69546</v>
      </c>
    </row>
    <row r="86" customFormat="false" ht="16.5" hidden="false" customHeight="false" outlineLevel="0" collapsed="false">
      <c r="A86" s="49" t="s">
        <v>299</v>
      </c>
      <c r="B86" s="50" t="s">
        <v>300</v>
      </c>
      <c r="C86" s="50" t="s">
        <v>286</v>
      </c>
      <c r="D86" s="51" t="n">
        <v>69546</v>
      </c>
      <c r="E86" s="52" t="n">
        <v>0</v>
      </c>
      <c r="F86" s="51" t="n">
        <f aca="false">+D86*(1+E86)</f>
        <v>69546</v>
      </c>
    </row>
    <row r="87" customFormat="false" ht="16.5" hidden="false" customHeight="false" outlineLevel="0" collapsed="false">
      <c r="A87" s="49" t="s">
        <v>301</v>
      </c>
      <c r="B87" s="50" t="s">
        <v>302</v>
      </c>
      <c r="C87" s="50" t="s">
        <v>286</v>
      </c>
      <c r="D87" s="51" t="n">
        <v>65126</v>
      </c>
      <c r="E87" s="52" t="n">
        <v>0</v>
      </c>
      <c r="F87" s="51" t="n">
        <f aca="false">+D87*(1+E87)</f>
        <v>65126</v>
      </c>
    </row>
    <row r="88" customFormat="false" ht="16.5" hidden="false" customHeight="false" outlineLevel="0" collapsed="false">
      <c r="A88" s="49" t="s">
        <v>303</v>
      </c>
      <c r="B88" s="50" t="s">
        <v>304</v>
      </c>
      <c r="C88" s="50" t="s">
        <v>286</v>
      </c>
      <c r="D88" s="51" t="n">
        <v>53571</v>
      </c>
      <c r="E88" s="52" t="n">
        <v>0</v>
      </c>
      <c r="F88" s="51" t="n">
        <f aca="false">+D88*(1+E88)</f>
        <v>53571</v>
      </c>
    </row>
    <row r="89" customFormat="false" ht="16.5" hidden="false" customHeight="false" outlineLevel="0" collapsed="false">
      <c r="A89" s="49" t="s">
        <v>305</v>
      </c>
      <c r="B89" s="50" t="s">
        <v>306</v>
      </c>
      <c r="C89" s="50" t="s">
        <v>286</v>
      </c>
      <c r="D89" s="51" t="n">
        <v>57866</v>
      </c>
      <c r="E89" s="52" t="n">
        <v>0</v>
      </c>
      <c r="F89" s="51" t="n">
        <f aca="false">+D89*(1+E89)</f>
        <v>57866</v>
      </c>
    </row>
    <row r="90" customFormat="false" ht="16.5" hidden="false" customHeight="false" outlineLevel="0" collapsed="false">
      <c r="A90" s="49" t="s">
        <v>307</v>
      </c>
      <c r="B90" s="50" t="s">
        <v>308</v>
      </c>
      <c r="C90" s="50" t="s">
        <v>286</v>
      </c>
      <c r="D90" s="51" t="n">
        <v>47361</v>
      </c>
      <c r="E90" s="52" t="n">
        <v>0</v>
      </c>
      <c r="F90" s="51" t="n">
        <f aca="false">+D90*(1+E90)</f>
        <v>47361</v>
      </c>
    </row>
    <row r="91" customFormat="false" ht="16.5" hidden="false" customHeight="false" outlineLevel="0" collapsed="false">
      <c r="A91" s="49" t="s">
        <v>309</v>
      </c>
      <c r="B91" s="50" t="s">
        <v>310</v>
      </c>
      <c r="C91" s="50" t="s">
        <v>286</v>
      </c>
      <c r="D91" s="51" t="n">
        <v>57017</v>
      </c>
      <c r="E91" s="52" t="n">
        <v>0</v>
      </c>
      <c r="F91" s="51" t="n">
        <f aca="false">+D91*(1+E91)</f>
        <v>57017</v>
      </c>
    </row>
    <row r="92" customFormat="false" ht="15.75" hidden="false" customHeight="false" outlineLevel="0" collapsed="false">
      <c r="A92" s="62"/>
      <c r="B92" s="62"/>
      <c r="C92" s="62"/>
      <c r="D92" s="70"/>
      <c r="E92" s="71"/>
      <c r="F92" s="70"/>
    </row>
    <row r="93" customFormat="false" ht="19.5" hidden="false" customHeight="false" outlineLevel="0" collapsed="false">
      <c r="A93" s="43" t="s">
        <v>311</v>
      </c>
      <c r="B93" s="43"/>
      <c r="C93" s="43"/>
      <c r="D93" s="43"/>
      <c r="E93" s="43"/>
    </row>
    <row r="94" customFormat="false" ht="31.5" hidden="false" customHeight="false" outlineLevel="0" collapsed="false">
      <c r="A94" s="44" t="s">
        <v>167</v>
      </c>
      <c r="B94" s="45" t="s">
        <v>168</v>
      </c>
      <c r="C94" s="45" t="s">
        <v>9</v>
      </c>
      <c r="D94" s="46" t="s">
        <v>10</v>
      </c>
      <c r="E94" s="47" t="s">
        <v>11</v>
      </c>
      <c r="F94" s="48" t="s">
        <v>169</v>
      </c>
      <c r="I94" s="72"/>
    </row>
    <row r="95" customFormat="false" ht="16.5" hidden="false" customHeight="false" outlineLevel="0" collapsed="false">
      <c r="A95" s="49" t="s">
        <v>312</v>
      </c>
      <c r="B95" s="50" t="s">
        <v>313</v>
      </c>
      <c r="C95" s="50" t="s">
        <v>9</v>
      </c>
      <c r="D95" s="51" t="n">
        <v>9300</v>
      </c>
      <c r="E95" s="52" t="n">
        <v>0</v>
      </c>
      <c r="F95" s="51" t="n">
        <f aca="false">+D95*(1+E95)</f>
        <v>9300</v>
      </c>
      <c r="I95" s="72"/>
    </row>
    <row r="96" customFormat="false" ht="16.5" hidden="false" customHeight="false" outlineLevel="0" collapsed="false">
      <c r="A96" s="49" t="s">
        <v>314</v>
      </c>
      <c r="B96" s="50" t="s">
        <v>315</v>
      </c>
      <c r="C96" s="50" t="s">
        <v>9</v>
      </c>
      <c r="D96" s="51" t="n">
        <v>4110</v>
      </c>
      <c r="E96" s="52" t="n">
        <v>0</v>
      </c>
      <c r="F96" s="51" t="n">
        <f aca="false">+D96*(1+E96)</f>
        <v>4110</v>
      </c>
      <c r="I96" s="72"/>
    </row>
    <row r="97" customFormat="false" ht="15.75" hidden="false" customHeight="true" outlineLevel="0" collapsed="false">
      <c r="A97" s="49" t="s">
        <v>316</v>
      </c>
      <c r="B97" s="50" t="s">
        <v>317</v>
      </c>
      <c r="C97" s="50" t="s">
        <v>9</v>
      </c>
      <c r="D97" s="51" t="n">
        <v>7480</v>
      </c>
      <c r="E97" s="52" t="n">
        <v>0</v>
      </c>
      <c r="F97" s="51" t="n">
        <f aca="false">+D97*(1+E97)</f>
        <v>7480</v>
      </c>
      <c r="I97" s="72"/>
    </row>
    <row r="98" customFormat="false" ht="15.75" hidden="false" customHeight="true" outlineLevel="0" collapsed="false">
      <c r="A98" s="49" t="s">
        <v>318</v>
      </c>
      <c r="B98" s="50" t="s">
        <v>319</v>
      </c>
      <c r="C98" s="50" t="s">
        <v>9</v>
      </c>
      <c r="D98" s="51" t="n">
        <v>9460</v>
      </c>
      <c r="E98" s="52" t="n">
        <v>0</v>
      </c>
      <c r="F98" s="51" t="n">
        <f aca="false">+D98*(1+E98)</f>
        <v>9460</v>
      </c>
      <c r="I98" s="72"/>
    </row>
    <row r="99" customFormat="false" ht="15.75" hidden="false" customHeight="true" outlineLevel="0" collapsed="false">
      <c r="A99" s="49" t="s">
        <v>320</v>
      </c>
      <c r="B99" s="50" t="s">
        <v>321</v>
      </c>
      <c r="C99" s="50" t="s">
        <v>9</v>
      </c>
      <c r="D99" s="51" t="n">
        <v>5520</v>
      </c>
      <c r="E99" s="52" t="n">
        <v>0</v>
      </c>
      <c r="F99" s="51" t="n">
        <f aca="false">+D99*(1+E99)</f>
        <v>5520</v>
      </c>
      <c r="I99" s="72"/>
    </row>
    <row r="100" customFormat="false" ht="15.75" hidden="false" customHeight="true" outlineLevel="0" collapsed="false">
      <c r="A100" s="49" t="s">
        <v>322</v>
      </c>
      <c r="B100" s="50" t="s">
        <v>323</v>
      </c>
      <c r="C100" s="50" t="s">
        <v>9</v>
      </c>
      <c r="D100" s="51" t="n">
        <v>4190</v>
      </c>
      <c r="E100" s="52" t="n">
        <v>0</v>
      </c>
      <c r="F100" s="51" t="n">
        <f aca="false">+D100*(1+E100)</f>
        <v>4190</v>
      </c>
      <c r="I100" s="72"/>
    </row>
    <row r="101" customFormat="false" ht="16.5" hidden="false" customHeight="false" outlineLevel="0" collapsed="false">
      <c r="A101" s="49" t="s">
        <v>324</v>
      </c>
      <c r="B101" s="50" t="s">
        <v>325</v>
      </c>
      <c r="C101" s="50" t="s">
        <v>9</v>
      </c>
      <c r="D101" s="51" t="n">
        <v>7980</v>
      </c>
      <c r="E101" s="52" t="n">
        <v>0</v>
      </c>
      <c r="F101" s="51" t="n">
        <f aca="false">+D101*(1+E101)</f>
        <v>7980</v>
      </c>
      <c r="I101" s="72"/>
    </row>
    <row r="102" customFormat="false" ht="16.5" hidden="false" customHeight="false" outlineLevel="0" collapsed="false">
      <c r="A102" s="49" t="s">
        <v>326</v>
      </c>
      <c r="B102" s="50" t="s">
        <v>327</v>
      </c>
      <c r="C102" s="50" t="s">
        <v>9</v>
      </c>
      <c r="D102" s="51" t="n">
        <v>4110</v>
      </c>
      <c r="E102" s="52" t="n">
        <v>0</v>
      </c>
      <c r="F102" s="51" t="n">
        <f aca="false">+D102*(1+E102)</f>
        <v>4110</v>
      </c>
      <c r="I102" s="72"/>
    </row>
    <row r="103" customFormat="false" ht="15.75" hidden="false" customHeight="false" outlineLevel="0" collapsed="false">
      <c r="A103" s="53"/>
      <c r="B103" s="73"/>
      <c r="C103" s="53"/>
      <c r="D103" s="54"/>
      <c r="E103" s="55"/>
      <c r="F103" s="54"/>
      <c r="I103" s="72"/>
    </row>
    <row r="104" customFormat="false" ht="19.5" hidden="false" customHeight="false" outlineLevel="0" collapsed="false">
      <c r="A104" s="43" t="s">
        <v>328</v>
      </c>
      <c r="B104" s="43"/>
      <c r="C104" s="43"/>
      <c r="D104" s="43"/>
      <c r="E104" s="43"/>
      <c r="I104" s="72"/>
    </row>
    <row r="105" customFormat="false" ht="31.5" hidden="false" customHeight="false" outlineLevel="0" collapsed="false">
      <c r="A105" s="44" t="s">
        <v>167</v>
      </c>
      <c r="B105" s="45" t="s">
        <v>168</v>
      </c>
      <c r="C105" s="45" t="s">
        <v>9</v>
      </c>
      <c r="D105" s="46" t="s">
        <v>10</v>
      </c>
      <c r="E105" s="47" t="s">
        <v>11</v>
      </c>
      <c r="F105" s="48" t="s">
        <v>169</v>
      </c>
    </row>
    <row r="106" customFormat="false" ht="16.5" hidden="false" customHeight="false" outlineLevel="0" collapsed="false">
      <c r="A106" s="49" t="s">
        <v>329</v>
      </c>
      <c r="B106" s="50" t="s">
        <v>330</v>
      </c>
      <c r="C106" s="50" t="s">
        <v>9</v>
      </c>
      <c r="D106" s="51" t="n">
        <v>11500</v>
      </c>
      <c r="E106" s="52" t="n">
        <v>0</v>
      </c>
      <c r="F106" s="51" t="n">
        <f aca="false">+D106*(1+E106)</f>
        <v>11500</v>
      </c>
    </row>
    <row r="107" customFormat="false" ht="16.5" hidden="false" customHeight="false" outlineLevel="0" collapsed="false">
      <c r="A107" s="49" t="s">
        <v>331</v>
      </c>
      <c r="B107" s="50" t="s">
        <v>332</v>
      </c>
      <c r="C107" s="50" t="s">
        <v>9</v>
      </c>
      <c r="D107" s="51" t="n">
        <v>5940</v>
      </c>
      <c r="E107" s="52" t="n">
        <v>0</v>
      </c>
      <c r="F107" s="51" t="n">
        <f aca="false">+D107*(1+E107)</f>
        <v>5940</v>
      </c>
    </row>
    <row r="108" customFormat="false" ht="16.5" hidden="false" customHeight="false" outlineLevel="0" collapsed="false">
      <c r="A108" s="49" t="s">
        <v>333</v>
      </c>
      <c r="B108" s="50" t="s">
        <v>334</v>
      </c>
      <c r="C108" s="50" t="s">
        <v>9</v>
      </c>
      <c r="D108" s="51" t="n">
        <v>55730</v>
      </c>
      <c r="E108" s="52" t="n">
        <v>0</v>
      </c>
      <c r="F108" s="51" t="n">
        <f aca="false">+D108*(1+E108)</f>
        <v>55730</v>
      </c>
    </row>
    <row r="109" customFormat="false" ht="16.5" hidden="false" customHeight="false" outlineLevel="0" collapsed="false">
      <c r="A109" s="49" t="s">
        <v>335</v>
      </c>
      <c r="B109" s="50" t="s">
        <v>336</v>
      </c>
      <c r="C109" s="50" t="s">
        <v>9</v>
      </c>
      <c r="D109" s="51" t="n">
        <v>27900</v>
      </c>
      <c r="E109" s="52" t="n">
        <v>0</v>
      </c>
      <c r="F109" s="51" t="n">
        <f aca="false">+D109*(1+E109)</f>
        <v>27900</v>
      </c>
    </row>
    <row r="110" customFormat="false" ht="16.5" hidden="false" customHeight="false" outlineLevel="0" collapsed="false">
      <c r="A110" s="49" t="s">
        <v>337</v>
      </c>
      <c r="B110" s="50" t="s">
        <v>338</v>
      </c>
      <c r="C110" s="50" t="s">
        <v>9</v>
      </c>
      <c r="D110" s="51" t="n">
        <v>3710</v>
      </c>
      <c r="E110" s="52" t="n">
        <v>0</v>
      </c>
      <c r="F110" s="51" t="n">
        <f aca="false">+D110*(1+E110)</f>
        <v>3710</v>
      </c>
    </row>
    <row r="111" customFormat="false" ht="16.5" hidden="false" customHeight="false" outlineLevel="0" collapsed="false">
      <c r="A111" s="49" t="s">
        <v>339</v>
      </c>
      <c r="B111" s="50" t="s">
        <v>340</v>
      </c>
      <c r="C111" s="50" t="s">
        <v>9</v>
      </c>
      <c r="D111" s="51" t="n">
        <v>14350</v>
      </c>
      <c r="E111" s="52" t="n">
        <v>0</v>
      </c>
      <c r="F111" s="51" t="n">
        <f aca="false">+D111*(1+E111)</f>
        <v>14350</v>
      </c>
    </row>
    <row r="112" customFormat="false" ht="16.5" hidden="false" customHeight="false" outlineLevel="0" collapsed="false">
      <c r="A112" s="49" t="s">
        <v>341</v>
      </c>
      <c r="B112" s="50" t="s">
        <v>342</v>
      </c>
      <c r="C112" s="50" t="s">
        <v>9</v>
      </c>
      <c r="D112" s="51" t="n">
        <v>7210</v>
      </c>
      <c r="E112" s="52" t="n">
        <v>0</v>
      </c>
      <c r="F112" s="51" t="n">
        <f aca="false">+D112*(1+E112)</f>
        <v>7210</v>
      </c>
    </row>
    <row r="113" customFormat="false" ht="16.5" hidden="false" customHeight="false" outlineLevel="0" collapsed="false">
      <c r="A113" s="49" t="s">
        <v>343</v>
      </c>
      <c r="B113" s="50" t="s">
        <v>344</v>
      </c>
      <c r="C113" s="50" t="s">
        <v>9</v>
      </c>
      <c r="D113" s="51" t="n">
        <v>7210</v>
      </c>
      <c r="E113" s="52" t="n">
        <v>0</v>
      </c>
      <c r="F113" s="51" t="n">
        <f aca="false">+D113*(1+E113)</f>
        <v>7210</v>
      </c>
    </row>
    <row r="114" customFormat="false" ht="15.75" hidden="false" customHeight="false" outlineLevel="0" collapsed="false"/>
    <row r="115" customFormat="false" ht="19.5" hidden="false" customHeight="false" outlineLevel="0" collapsed="false">
      <c r="A115" s="43" t="s">
        <v>345</v>
      </c>
      <c r="B115" s="43"/>
      <c r="C115" s="43"/>
      <c r="D115" s="43"/>
      <c r="E115" s="43"/>
    </row>
    <row r="116" customFormat="false" ht="31.5" hidden="false" customHeight="false" outlineLevel="0" collapsed="false">
      <c r="A116" s="44" t="s">
        <v>167</v>
      </c>
      <c r="B116" s="45" t="s">
        <v>168</v>
      </c>
      <c r="C116" s="45" t="s">
        <v>9</v>
      </c>
      <c r="D116" s="46" t="s">
        <v>10</v>
      </c>
      <c r="E116" s="47" t="s">
        <v>11</v>
      </c>
      <c r="F116" s="48" t="s">
        <v>169</v>
      </c>
    </row>
    <row r="117" customFormat="false" ht="16.5" hidden="false" customHeight="false" outlineLevel="0" collapsed="false">
      <c r="A117" s="49" t="s">
        <v>346</v>
      </c>
      <c r="B117" s="50" t="s">
        <v>347</v>
      </c>
      <c r="C117" s="50" t="s">
        <v>51</v>
      </c>
      <c r="D117" s="51" t="n">
        <v>11227</v>
      </c>
      <c r="E117" s="52" t="n">
        <v>0.19</v>
      </c>
      <c r="F117" s="51" t="n">
        <f aca="false">+D117*(1+E117)</f>
        <v>13360.13</v>
      </c>
    </row>
    <row r="118" customFormat="false" ht="16.5" hidden="false" customHeight="false" outlineLevel="0" collapsed="false">
      <c r="A118" s="49" t="s">
        <v>348</v>
      </c>
      <c r="B118" s="50" t="s">
        <v>349</v>
      </c>
      <c r="C118" s="50" t="s">
        <v>350</v>
      </c>
      <c r="D118" s="51" t="n">
        <v>6513</v>
      </c>
      <c r="E118" s="52" t="n">
        <v>0.19</v>
      </c>
      <c r="F118" s="51" t="n">
        <f aca="false">+D118*(1+E118)</f>
        <v>7750.47</v>
      </c>
    </row>
    <row r="119" customFormat="false" ht="16.5" hidden="false" customHeight="false" outlineLevel="0" collapsed="false">
      <c r="A119" s="49" t="s">
        <v>351</v>
      </c>
      <c r="B119" s="50" t="s">
        <v>352</v>
      </c>
      <c r="C119" s="50" t="s">
        <v>350</v>
      </c>
      <c r="D119" s="51" t="n">
        <v>96353</v>
      </c>
      <c r="E119" s="52" t="n">
        <v>0.19</v>
      </c>
      <c r="F119" s="51" t="n">
        <f aca="false">+D119*(1+E119)</f>
        <v>114660.07</v>
      </c>
    </row>
    <row r="120" customFormat="false" ht="16.5" hidden="false" customHeight="false" outlineLevel="0" collapsed="false">
      <c r="A120" s="49" t="s">
        <v>353</v>
      </c>
      <c r="B120" s="50" t="s">
        <v>354</v>
      </c>
      <c r="C120" s="50" t="s">
        <v>350</v>
      </c>
      <c r="D120" s="51" t="n">
        <v>28588</v>
      </c>
      <c r="E120" s="52" t="n">
        <v>0.19</v>
      </c>
      <c r="F120" s="51" t="n">
        <f aca="false">+D120*(1+E120)</f>
        <v>34019.72</v>
      </c>
    </row>
    <row r="121" customFormat="false" ht="16.5" hidden="false" customHeight="false" outlineLevel="0" collapsed="false">
      <c r="A121" s="49" t="s">
        <v>355</v>
      </c>
      <c r="B121" s="50" t="s">
        <v>356</v>
      </c>
      <c r="C121" s="50" t="s">
        <v>350</v>
      </c>
      <c r="D121" s="51" t="n">
        <v>16546</v>
      </c>
      <c r="E121" s="52" t="n">
        <v>0.19</v>
      </c>
      <c r="F121" s="51" t="n">
        <f aca="false">+D121*(1+E121)</f>
        <v>19689.74</v>
      </c>
    </row>
    <row r="122" customFormat="false" ht="15.75" hidden="false" customHeight="false" outlineLevel="0" collapsed="false"/>
    <row r="123" customFormat="false" ht="19.5" hidden="false" customHeight="false" outlineLevel="0" collapsed="false">
      <c r="A123" s="43" t="s">
        <v>357</v>
      </c>
      <c r="B123" s="43"/>
      <c r="C123" s="43"/>
      <c r="D123" s="43"/>
      <c r="E123" s="43"/>
    </row>
    <row r="124" customFormat="false" ht="31.5" hidden="false" customHeight="false" outlineLevel="0" collapsed="false">
      <c r="A124" s="44" t="s">
        <v>167</v>
      </c>
      <c r="B124" s="45" t="s">
        <v>168</v>
      </c>
      <c r="C124" s="45" t="s">
        <v>9</v>
      </c>
      <c r="D124" s="46" t="s">
        <v>10</v>
      </c>
      <c r="E124" s="47" t="s">
        <v>11</v>
      </c>
      <c r="F124" s="48" t="s">
        <v>169</v>
      </c>
    </row>
    <row r="125" customFormat="false" ht="16.5" hidden="false" customHeight="false" outlineLevel="0" collapsed="false">
      <c r="A125" s="49" t="s">
        <v>358</v>
      </c>
      <c r="B125" s="50" t="s">
        <v>359</v>
      </c>
      <c r="C125" s="50" t="s">
        <v>360</v>
      </c>
      <c r="D125" s="51" t="n">
        <v>27034</v>
      </c>
      <c r="E125" s="52" t="n">
        <v>0.19</v>
      </c>
      <c r="F125" s="51" t="n">
        <f aca="false">+D125*(1+E125)</f>
        <v>32170.46</v>
      </c>
    </row>
    <row r="126" customFormat="false" ht="16.5" hidden="false" customHeight="false" outlineLevel="0" collapsed="false">
      <c r="A126" s="49" t="s">
        <v>361</v>
      </c>
      <c r="B126" s="50" t="s">
        <v>362</v>
      </c>
      <c r="C126" s="50" t="s">
        <v>9</v>
      </c>
      <c r="D126" s="51" t="n">
        <v>8218</v>
      </c>
      <c r="E126" s="52" t="n">
        <v>0.19</v>
      </c>
      <c r="F126" s="51" t="n">
        <f aca="false">+D126*(1+E126)</f>
        <v>9779.42</v>
      </c>
    </row>
    <row r="127" customFormat="false" ht="16.5" hidden="false" customHeight="false" outlineLevel="0" collapsed="false">
      <c r="A127" s="49" t="s">
        <v>363</v>
      </c>
      <c r="B127" s="50" t="s">
        <v>364</v>
      </c>
      <c r="C127" s="50" t="s">
        <v>9</v>
      </c>
      <c r="D127" s="51" t="n">
        <v>5870</v>
      </c>
      <c r="E127" s="52" t="n">
        <v>0.19</v>
      </c>
      <c r="F127" s="51" t="n">
        <f aca="false">+D127*(1+E127)</f>
        <v>6985.3</v>
      </c>
    </row>
    <row r="128" customFormat="false" ht="15.75" hidden="false" customHeight="false" outlineLevel="0" collapsed="false"/>
    <row r="130" customFormat="false" ht="19.5" hidden="false" customHeight="false" outlineLevel="0" collapsed="false">
      <c r="A130" s="43" t="s">
        <v>365</v>
      </c>
      <c r="B130" s="43"/>
      <c r="C130" s="43"/>
      <c r="D130" s="43"/>
      <c r="E130" s="43"/>
    </row>
    <row r="131" customFormat="false" ht="31.5" hidden="false" customHeight="false" outlineLevel="0" collapsed="false">
      <c r="A131" s="44" t="s">
        <v>167</v>
      </c>
      <c r="B131" s="45" t="s">
        <v>168</v>
      </c>
      <c r="C131" s="45" t="s">
        <v>9</v>
      </c>
      <c r="D131" s="46" t="s">
        <v>10</v>
      </c>
      <c r="E131" s="47" t="s">
        <v>11</v>
      </c>
      <c r="F131" s="48" t="s">
        <v>169</v>
      </c>
    </row>
    <row r="132" customFormat="false" ht="16.5" hidden="false" customHeight="false" outlineLevel="0" collapsed="false">
      <c r="A132" s="49" t="s">
        <v>366</v>
      </c>
      <c r="B132" s="50" t="s">
        <v>367</v>
      </c>
      <c r="C132" s="50" t="s">
        <v>9</v>
      </c>
      <c r="D132" s="51" t="n">
        <v>9420</v>
      </c>
      <c r="E132" s="52" t="n">
        <v>0</v>
      </c>
      <c r="F132" s="51" t="n">
        <f aca="false">+D132*(1+E132)</f>
        <v>9420</v>
      </c>
    </row>
    <row r="133" customFormat="false" ht="16.5" hidden="false" customHeight="false" outlineLevel="0" collapsed="false">
      <c r="A133" s="49" t="s">
        <v>368</v>
      </c>
      <c r="B133" s="50" t="s">
        <v>369</v>
      </c>
      <c r="C133" s="50" t="s">
        <v>9</v>
      </c>
      <c r="D133" s="51" t="n">
        <v>16000</v>
      </c>
      <c r="E133" s="52" t="n">
        <v>0</v>
      </c>
      <c r="F133" s="51" t="n">
        <f aca="false">+D133*(1+E133)</f>
        <v>16000</v>
      </c>
    </row>
    <row r="134" customFormat="false" ht="16.5" hidden="false" customHeight="false" outlineLevel="0" collapsed="false">
      <c r="A134" s="49" t="s">
        <v>370</v>
      </c>
      <c r="B134" s="50" t="s">
        <v>371</v>
      </c>
      <c r="C134" s="50" t="s">
        <v>9</v>
      </c>
      <c r="D134" s="51" t="n">
        <v>29410</v>
      </c>
      <c r="E134" s="52" t="n">
        <v>0</v>
      </c>
      <c r="F134" s="51" t="n">
        <f aca="false">+D134*(1+E134)</f>
        <v>29410</v>
      </c>
    </row>
    <row r="135" customFormat="false" ht="16.5" hidden="false" customHeight="false" outlineLevel="0" collapsed="false">
      <c r="A135" s="49" t="s">
        <v>372</v>
      </c>
      <c r="B135" s="50" t="s">
        <v>373</v>
      </c>
      <c r="C135" s="50" t="s">
        <v>9</v>
      </c>
      <c r="D135" s="51" t="n">
        <v>14860</v>
      </c>
      <c r="E135" s="52" t="n">
        <v>0</v>
      </c>
      <c r="F135" s="51" t="n">
        <f aca="false">+D135*(1+E135)</f>
        <v>14860</v>
      </c>
    </row>
    <row r="136" customFormat="false" ht="16.5" hidden="false" customHeight="false" outlineLevel="0" collapsed="false">
      <c r="A136" s="49" t="s">
        <v>374</v>
      </c>
      <c r="B136" s="50" t="s">
        <v>375</v>
      </c>
      <c r="C136" s="50" t="s">
        <v>9</v>
      </c>
      <c r="D136" s="51" t="n">
        <v>15260</v>
      </c>
      <c r="E136" s="52" t="n">
        <v>0</v>
      </c>
      <c r="F136" s="51" t="n">
        <f aca="false">+D136*(1+E136)</f>
        <v>15260</v>
      </c>
    </row>
    <row r="137" customFormat="false" ht="16.5" hidden="false" customHeight="false" outlineLevel="0" collapsed="false">
      <c r="A137" s="49" t="s">
        <v>376</v>
      </c>
      <c r="B137" s="50" t="s">
        <v>377</v>
      </c>
      <c r="C137" s="50" t="s">
        <v>9</v>
      </c>
      <c r="D137" s="51" t="n">
        <v>11269</v>
      </c>
      <c r="E137" s="52" t="n">
        <v>0.19</v>
      </c>
      <c r="F137" s="51" t="n">
        <f aca="false">+D137*(1+E137)</f>
        <v>13410.11</v>
      </c>
    </row>
    <row r="138" customFormat="false" ht="16.5" hidden="false" customHeight="false" outlineLevel="0" collapsed="false">
      <c r="A138" s="49" t="s">
        <v>378</v>
      </c>
      <c r="B138" s="50" t="s">
        <v>379</v>
      </c>
      <c r="C138" s="50" t="s">
        <v>380</v>
      </c>
      <c r="D138" s="51" t="n">
        <v>66</v>
      </c>
      <c r="E138" s="52" t="n">
        <v>0.19</v>
      </c>
      <c r="F138" s="51" t="n">
        <f aca="false">+D138*(1+E138)</f>
        <v>78.54</v>
      </c>
    </row>
    <row r="139" customFormat="false" ht="16.5" hidden="false" customHeight="false" outlineLevel="0" collapsed="false">
      <c r="A139" s="49" t="s">
        <v>381</v>
      </c>
      <c r="B139" s="50" t="s">
        <v>382</v>
      </c>
      <c r="C139" s="50" t="s">
        <v>9</v>
      </c>
      <c r="D139" s="51" t="n">
        <v>73630</v>
      </c>
      <c r="E139" s="52" t="n">
        <v>0.19</v>
      </c>
      <c r="F139" s="51" t="n">
        <f aca="false">+D139*(1+E139)</f>
        <v>87619.7</v>
      </c>
    </row>
    <row r="140" customFormat="false" ht="16.5" hidden="false" customHeight="false" outlineLevel="0" collapsed="false">
      <c r="A140" s="49" t="s">
        <v>383</v>
      </c>
      <c r="B140" s="50" t="s">
        <v>384</v>
      </c>
      <c r="C140" s="50" t="s">
        <v>9</v>
      </c>
      <c r="D140" s="51" t="n">
        <v>37185</v>
      </c>
      <c r="E140" s="52" t="n">
        <v>0.19</v>
      </c>
      <c r="F140" s="51" t="n">
        <f aca="false">+D140*(1+E140)</f>
        <v>44250.15</v>
      </c>
    </row>
    <row r="141" customFormat="false" ht="16.5" hidden="false" customHeight="false" outlineLevel="0" collapsed="false">
      <c r="A141" s="49" t="s">
        <v>385</v>
      </c>
      <c r="B141" s="50" t="s">
        <v>386</v>
      </c>
      <c r="C141" s="50" t="s">
        <v>9</v>
      </c>
      <c r="D141" s="51" t="n">
        <v>18664</v>
      </c>
      <c r="E141" s="52" t="n">
        <v>0.19</v>
      </c>
      <c r="F141" s="51" t="n">
        <f aca="false">+D141*(1+E141)</f>
        <v>22210.16</v>
      </c>
    </row>
    <row r="142" customFormat="false" ht="16.5" hidden="false" customHeight="false" outlineLevel="0" collapsed="false">
      <c r="A142" s="49" t="s">
        <v>387</v>
      </c>
      <c r="B142" s="50" t="s">
        <v>388</v>
      </c>
      <c r="C142" s="50" t="s">
        <v>9</v>
      </c>
      <c r="D142" s="51" t="n">
        <v>8269</v>
      </c>
      <c r="E142" s="52" t="n">
        <v>0.19</v>
      </c>
      <c r="F142" s="51" t="n">
        <f aca="false">+D142*(1+E142)</f>
        <v>9840.11</v>
      </c>
    </row>
    <row r="143" customFormat="false" ht="16.5" hidden="false" customHeight="false" outlineLevel="0" collapsed="false">
      <c r="A143" s="49" t="s">
        <v>389</v>
      </c>
      <c r="B143" s="50" t="s">
        <v>390</v>
      </c>
      <c r="C143" s="50" t="s">
        <v>9</v>
      </c>
      <c r="D143" s="51" t="n">
        <v>3504</v>
      </c>
      <c r="E143" s="52" t="n">
        <v>0.19</v>
      </c>
      <c r="F143" s="51" t="n">
        <f aca="false">+D143*(1+E143)</f>
        <v>4169.76</v>
      </c>
    </row>
    <row r="144" customFormat="false" ht="16.5" hidden="false" customHeight="false" outlineLevel="0" collapsed="false">
      <c r="A144" s="49" t="s">
        <v>391</v>
      </c>
      <c r="B144" s="50" t="s">
        <v>392</v>
      </c>
      <c r="C144" s="50" t="s">
        <v>380</v>
      </c>
      <c r="D144" s="51" t="n">
        <v>74</v>
      </c>
      <c r="E144" s="52" t="n">
        <v>0.19</v>
      </c>
      <c r="F144" s="51" t="n">
        <f aca="false">+D144*(1+E144)</f>
        <v>88.06</v>
      </c>
    </row>
    <row r="145" customFormat="false" ht="16.5" hidden="false" customHeight="false" outlineLevel="0" collapsed="false">
      <c r="A145" s="49" t="s">
        <v>393</v>
      </c>
      <c r="B145" s="50" t="s">
        <v>394</v>
      </c>
      <c r="C145" s="50" t="s">
        <v>380</v>
      </c>
      <c r="D145" s="51" t="n">
        <v>72</v>
      </c>
      <c r="E145" s="52" t="n">
        <v>0.19</v>
      </c>
      <c r="F145" s="51" t="n">
        <f aca="false">+D145*(1+E145)</f>
        <v>85.68</v>
      </c>
    </row>
    <row r="146" customFormat="false" ht="16.5" hidden="false" customHeight="false" outlineLevel="0" collapsed="false">
      <c r="A146" s="49" t="s">
        <v>395</v>
      </c>
      <c r="B146" s="50" t="s">
        <v>396</v>
      </c>
      <c r="C146" s="50" t="s">
        <v>380</v>
      </c>
      <c r="D146" s="51" t="n">
        <v>61</v>
      </c>
      <c r="E146" s="52" t="n">
        <v>0.19</v>
      </c>
      <c r="F146" s="51" t="n">
        <f aca="false">+D146*(1+E146)</f>
        <v>72.59</v>
      </c>
    </row>
    <row r="147" customFormat="false" ht="16.5" hidden="false" customHeight="false" outlineLevel="0" collapsed="false">
      <c r="A147" s="49" t="s">
        <v>397</v>
      </c>
      <c r="B147" s="50" t="s">
        <v>398</v>
      </c>
      <c r="C147" s="50" t="s">
        <v>380</v>
      </c>
      <c r="D147" s="51" t="n">
        <v>69</v>
      </c>
      <c r="E147" s="52" t="n">
        <v>0.19</v>
      </c>
      <c r="F147" s="51" t="n">
        <f aca="false">+D147*(1+E147)</f>
        <v>82.11</v>
      </c>
    </row>
    <row r="148" customFormat="false" ht="16.5" hidden="false" customHeight="false" outlineLevel="0" collapsed="false">
      <c r="A148" s="49" t="s">
        <v>399</v>
      </c>
      <c r="B148" s="50" t="s">
        <v>400</v>
      </c>
      <c r="C148" s="50" t="s">
        <v>9</v>
      </c>
      <c r="D148" s="51" t="n">
        <v>11269</v>
      </c>
      <c r="E148" s="52" t="n">
        <v>0.19</v>
      </c>
      <c r="F148" s="51" t="n">
        <f aca="false">+D148*(1+E148)</f>
        <v>13410.11</v>
      </c>
    </row>
    <row r="149" customFormat="false" ht="16.5" hidden="false" customHeight="false" outlineLevel="0" collapsed="false">
      <c r="A149" s="49" t="s">
        <v>401</v>
      </c>
      <c r="B149" s="50" t="s">
        <v>402</v>
      </c>
      <c r="C149" s="50" t="s">
        <v>380</v>
      </c>
      <c r="D149" s="51" t="n">
        <v>59</v>
      </c>
      <c r="E149" s="52" t="n">
        <v>0.19</v>
      </c>
      <c r="F149" s="51" t="n">
        <f aca="false">+D149*(1+E149)</f>
        <v>70.21</v>
      </c>
    </row>
    <row r="150" customFormat="false" ht="16.5" hidden="false" customHeight="false" outlineLevel="0" collapsed="false">
      <c r="A150" s="49" t="s">
        <v>403</v>
      </c>
      <c r="B150" s="50" t="s">
        <v>404</v>
      </c>
      <c r="C150" s="50" t="s">
        <v>9</v>
      </c>
      <c r="D150" s="51" t="n">
        <v>27101</v>
      </c>
      <c r="E150" s="52" t="n">
        <v>0.19</v>
      </c>
      <c r="F150" s="51" t="n">
        <f aca="false">+D150*(1+E150)</f>
        <v>32250.19</v>
      </c>
    </row>
    <row r="151" customFormat="false" ht="16.5" hidden="false" customHeight="false" outlineLevel="0" collapsed="false">
      <c r="A151" s="49" t="s">
        <v>405</v>
      </c>
      <c r="B151" s="50" t="s">
        <v>406</v>
      </c>
      <c r="C151" s="50" t="s">
        <v>9</v>
      </c>
      <c r="D151" s="51" t="n">
        <v>15092</v>
      </c>
      <c r="E151" s="52" t="n">
        <v>0.19</v>
      </c>
      <c r="F151" s="51" t="n">
        <f aca="false">+D151*(1+E151)</f>
        <v>17959.48</v>
      </c>
    </row>
    <row r="152" customFormat="false" ht="16.5" hidden="false" customHeight="false" outlineLevel="0" collapsed="false">
      <c r="A152" s="49" t="s">
        <v>407</v>
      </c>
      <c r="B152" s="50" t="s">
        <v>408</v>
      </c>
      <c r="C152" s="50" t="s">
        <v>380</v>
      </c>
      <c r="D152" s="51" t="n">
        <v>59</v>
      </c>
      <c r="E152" s="52" t="n">
        <v>0.19</v>
      </c>
      <c r="F152" s="51" t="n">
        <f aca="false">+D152*(1+E152)</f>
        <v>70.21</v>
      </c>
    </row>
    <row r="153" customFormat="false" ht="16.5" hidden="false" customHeight="false" outlineLevel="0" collapsed="false">
      <c r="A153" s="49" t="s">
        <v>409</v>
      </c>
      <c r="B153" s="50" t="s">
        <v>410</v>
      </c>
      <c r="C153" s="50" t="s">
        <v>9</v>
      </c>
      <c r="D153" s="51" t="n">
        <v>27101</v>
      </c>
      <c r="E153" s="52" t="n">
        <v>0.19</v>
      </c>
      <c r="F153" s="51" t="n">
        <f aca="false">+D153*(1+E153)</f>
        <v>32250.19</v>
      </c>
    </row>
    <row r="154" customFormat="false" ht="16.5" hidden="false" customHeight="false" outlineLevel="0" collapsed="false">
      <c r="A154" s="49" t="s">
        <v>411</v>
      </c>
      <c r="B154" s="50" t="s">
        <v>412</v>
      </c>
      <c r="C154" s="50" t="s">
        <v>9</v>
      </c>
      <c r="D154" s="51" t="n">
        <v>15092</v>
      </c>
      <c r="E154" s="52" t="n">
        <v>0.19</v>
      </c>
      <c r="F154" s="51" t="n">
        <f aca="false">+D154*(1+E154)</f>
        <v>17959.48</v>
      </c>
    </row>
    <row r="155" customFormat="false" ht="15.75" hidden="false" customHeight="false" outlineLevel="0" collapsed="false"/>
    <row r="156" customFormat="false" ht="19.5" hidden="false" customHeight="false" outlineLevel="0" collapsed="false">
      <c r="A156" s="43" t="s">
        <v>413</v>
      </c>
      <c r="B156" s="43"/>
      <c r="C156" s="43"/>
      <c r="D156" s="43"/>
      <c r="E156" s="43"/>
    </row>
    <row r="157" customFormat="false" ht="31.5" hidden="false" customHeight="false" outlineLevel="0" collapsed="false">
      <c r="A157" s="44" t="s">
        <v>167</v>
      </c>
      <c r="B157" s="45" t="s">
        <v>168</v>
      </c>
      <c r="C157" s="45" t="s">
        <v>9</v>
      </c>
      <c r="D157" s="46" t="s">
        <v>10</v>
      </c>
      <c r="E157" s="47" t="s">
        <v>11</v>
      </c>
      <c r="F157" s="48" t="s">
        <v>169</v>
      </c>
    </row>
    <row r="158" customFormat="false" ht="16.5" hidden="false" customHeight="false" outlineLevel="0" collapsed="false">
      <c r="A158" s="49" t="s">
        <v>414</v>
      </c>
      <c r="B158" s="50" t="s">
        <v>415</v>
      </c>
      <c r="C158" s="50" t="s">
        <v>9</v>
      </c>
      <c r="D158" s="51" t="n">
        <v>2320</v>
      </c>
      <c r="E158" s="52" t="n">
        <v>0</v>
      </c>
      <c r="F158" s="51" t="n">
        <f aca="false">+D158*(1+E158)</f>
        <v>2320</v>
      </c>
    </row>
    <row r="159" customFormat="false" ht="16.5" hidden="false" customHeight="false" outlineLevel="0" collapsed="false">
      <c r="A159" s="49" t="s">
        <v>416</v>
      </c>
      <c r="B159" s="50" t="s">
        <v>417</v>
      </c>
      <c r="C159" s="50" t="s">
        <v>9</v>
      </c>
      <c r="D159" s="51" t="n">
        <v>13310</v>
      </c>
      <c r="E159" s="52" t="n">
        <v>0</v>
      </c>
      <c r="F159" s="51" t="n">
        <f aca="false">+D159*(1+E159)</f>
        <v>13310</v>
      </c>
    </row>
    <row r="160" customFormat="false" ht="16.5" hidden="false" customHeight="false" outlineLevel="0" collapsed="false">
      <c r="A160" s="49" t="s">
        <v>418</v>
      </c>
      <c r="B160" s="50" t="s">
        <v>419</v>
      </c>
      <c r="C160" s="50" t="s">
        <v>9</v>
      </c>
      <c r="D160" s="51" t="n">
        <v>18240</v>
      </c>
      <c r="E160" s="52" t="n">
        <v>0</v>
      </c>
      <c r="F160" s="51" t="n">
        <f aca="false">+D160*(1+E160)</f>
        <v>18240</v>
      </c>
    </row>
    <row r="161" customFormat="false" ht="16.5" hidden="false" customHeight="false" outlineLevel="0" collapsed="false">
      <c r="A161" s="49" t="s">
        <v>420</v>
      </c>
      <c r="B161" s="50" t="s">
        <v>421</v>
      </c>
      <c r="C161" s="50" t="s">
        <v>9</v>
      </c>
      <c r="D161" s="51" t="n">
        <v>10550</v>
      </c>
      <c r="E161" s="52" t="n">
        <v>0</v>
      </c>
      <c r="F161" s="51" t="n">
        <f aca="false">+D161*(1+E161)</f>
        <v>10550</v>
      </c>
    </row>
    <row r="162" customFormat="false" ht="16.5" hidden="false" customHeight="false" outlineLevel="0" collapsed="false">
      <c r="A162" s="49" t="s">
        <v>422</v>
      </c>
      <c r="B162" s="50" t="s">
        <v>423</v>
      </c>
      <c r="C162" s="50" t="s">
        <v>360</v>
      </c>
      <c r="D162" s="51" t="n">
        <v>84580</v>
      </c>
      <c r="E162" s="52" t="n">
        <v>0</v>
      </c>
      <c r="F162" s="51" t="n">
        <f aca="false">+D162*(1+E162)</f>
        <v>84580</v>
      </c>
    </row>
    <row r="163" customFormat="false" ht="16.5" hidden="false" customHeight="false" outlineLevel="0" collapsed="false">
      <c r="A163" s="49" t="s">
        <v>424</v>
      </c>
      <c r="B163" s="50" t="s">
        <v>425</v>
      </c>
      <c r="C163" s="50" t="s">
        <v>9</v>
      </c>
      <c r="D163" s="51" t="n">
        <v>16290</v>
      </c>
      <c r="E163" s="52" t="n">
        <v>0</v>
      </c>
      <c r="F163" s="51" t="n">
        <f aca="false">+D163*(1+E163)</f>
        <v>16290</v>
      </c>
    </row>
    <row r="164" customFormat="false" ht="16.5" hidden="false" customHeight="false" outlineLevel="0" collapsed="false">
      <c r="A164" s="49" t="s">
        <v>426</v>
      </c>
      <c r="B164" s="50" t="s">
        <v>427</v>
      </c>
      <c r="C164" s="50" t="s">
        <v>9</v>
      </c>
      <c r="D164" s="51" t="n">
        <v>9510</v>
      </c>
      <c r="E164" s="52" t="n">
        <v>0</v>
      </c>
      <c r="F164" s="51" t="n">
        <f aca="false">+D164*(1+E164)</f>
        <v>9510</v>
      </c>
    </row>
    <row r="165" customFormat="false" ht="16.5" hidden="false" customHeight="false" outlineLevel="0" collapsed="false">
      <c r="A165" s="49" t="s">
        <v>428</v>
      </c>
      <c r="B165" s="50" t="s">
        <v>429</v>
      </c>
      <c r="C165" s="50" t="s">
        <v>360</v>
      </c>
      <c r="D165" s="51" t="n">
        <v>81340</v>
      </c>
      <c r="E165" s="52" t="n">
        <v>0</v>
      </c>
      <c r="F165" s="51" t="n">
        <f aca="false">+D165*(1+E165)</f>
        <v>81340</v>
      </c>
    </row>
    <row r="166" customFormat="false" ht="16.5" hidden="false" customHeight="false" outlineLevel="0" collapsed="false">
      <c r="A166" s="49" t="s">
        <v>430</v>
      </c>
      <c r="B166" s="50" t="s">
        <v>431</v>
      </c>
      <c r="C166" s="50" t="s">
        <v>360</v>
      </c>
      <c r="D166" s="51" t="n">
        <v>72510</v>
      </c>
      <c r="E166" s="52" t="n">
        <v>0</v>
      </c>
      <c r="F166" s="51" t="n">
        <f aca="false">+D166*(1+E166)</f>
        <v>72510</v>
      </c>
    </row>
    <row r="167" customFormat="false" ht="16.5" hidden="false" customHeight="false" outlineLevel="0" collapsed="false">
      <c r="A167" s="49" t="s">
        <v>432</v>
      </c>
      <c r="B167" s="50" t="s">
        <v>433</v>
      </c>
      <c r="C167" s="50" t="s">
        <v>9</v>
      </c>
      <c r="D167" s="51" t="n">
        <v>8910</v>
      </c>
      <c r="E167" s="52" t="n">
        <v>0</v>
      </c>
      <c r="F167" s="51" t="n">
        <f aca="false">+D167*(1+E167)</f>
        <v>8910</v>
      </c>
    </row>
    <row r="168" customFormat="false" ht="16.5" hidden="false" customHeight="false" outlineLevel="0" collapsed="false">
      <c r="A168" s="49" t="s">
        <v>434</v>
      </c>
      <c r="B168" s="50" t="s">
        <v>435</v>
      </c>
      <c r="C168" s="50" t="s">
        <v>9</v>
      </c>
      <c r="D168" s="51" t="n">
        <v>10490</v>
      </c>
      <c r="E168" s="52" t="n">
        <v>0</v>
      </c>
      <c r="F168" s="51" t="n">
        <f aca="false">+D168*(1+E168)</f>
        <v>10490</v>
      </c>
    </row>
    <row r="169" customFormat="false" ht="16.5" hidden="false" customHeight="false" outlineLevel="0" collapsed="false">
      <c r="A169" s="49" t="s">
        <v>436</v>
      </c>
      <c r="B169" s="50" t="s">
        <v>437</v>
      </c>
      <c r="C169" s="50" t="s">
        <v>360</v>
      </c>
      <c r="D169" s="51" t="n">
        <v>68580</v>
      </c>
      <c r="E169" s="52" t="n">
        <v>0</v>
      </c>
      <c r="F169" s="51" t="n">
        <f aca="false">+D169*(1+E169)</f>
        <v>68580</v>
      </c>
    </row>
    <row r="170" customFormat="false" ht="16.5" hidden="false" customHeight="false" outlineLevel="0" collapsed="false">
      <c r="A170" s="49" t="s">
        <v>438</v>
      </c>
      <c r="B170" s="50" t="s">
        <v>439</v>
      </c>
      <c r="C170" s="50" t="s">
        <v>360</v>
      </c>
      <c r="D170" s="51" t="n">
        <v>74350</v>
      </c>
      <c r="E170" s="52" t="n">
        <v>0</v>
      </c>
      <c r="F170" s="51" t="n">
        <f aca="false">+D170*(1+E170)</f>
        <v>74350</v>
      </c>
    </row>
    <row r="171" customFormat="false" ht="16.5" hidden="false" customHeight="false" outlineLevel="0" collapsed="false">
      <c r="A171" s="49" t="s">
        <v>440</v>
      </c>
      <c r="B171" s="50" t="s">
        <v>441</v>
      </c>
      <c r="C171" s="50" t="s">
        <v>9</v>
      </c>
      <c r="D171" s="51" t="n">
        <v>19320</v>
      </c>
      <c r="E171" s="52" t="n">
        <v>0</v>
      </c>
      <c r="F171" s="51" t="n">
        <f aca="false">+D171*(1+E171)</f>
        <v>19320</v>
      </c>
    </row>
    <row r="172" customFormat="false" ht="16.5" hidden="false" customHeight="false" outlineLevel="0" collapsed="false">
      <c r="A172" s="49" t="s">
        <v>442</v>
      </c>
      <c r="B172" s="50" t="s">
        <v>443</v>
      </c>
      <c r="C172" s="50" t="s">
        <v>9</v>
      </c>
      <c r="D172" s="51" t="n">
        <v>19580</v>
      </c>
      <c r="E172" s="52" t="n">
        <v>0</v>
      </c>
      <c r="F172" s="51" t="n">
        <f aca="false">+D172*(1+E172)</f>
        <v>19580</v>
      </c>
    </row>
    <row r="173" customFormat="false" ht="16.5" hidden="false" customHeight="false" outlineLevel="0" collapsed="false">
      <c r="A173" s="49" t="s">
        <v>444</v>
      </c>
      <c r="B173" s="50" t="s">
        <v>445</v>
      </c>
      <c r="C173" s="50" t="s">
        <v>9</v>
      </c>
      <c r="D173" s="51" t="n">
        <v>10350</v>
      </c>
      <c r="E173" s="52" t="n">
        <v>0</v>
      </c>
      <c r="F173" s="51" t="n">
        <f aca="false">+D173*(1+E173)</f>
        <v>10350</v>
      </c>
    </row>
    <row r="174" customFormat="false" ht="16.5" hidden="false" customHeight="false" outlineLevel="0" collapsed="false">
      <c r="A174" s="49" t="s">
        <v>446</v>
      </c>
      <c r="B174" s="50" t="s">
        <v>447</v>
      </c>
      <c r="C174" s="50" t="s">
        <v>360</v>
      </c>
      <c r="D174" s="51" t="n">
        <v>33920</v>
      </c>
      <c r="E174" s="52" t="n">
        <v>0</v>
      </c>
      <c r="F174" s="51" t="n">
        <f aca="false">+D174*(1+E174)</f>
        <v>33920</v>
      </c>
    </row>
    <row r="175" customFormat="false" ht="16.5" hidden="false" customHeight="false" outlineLevel="0" collapsed="false">
      <c r="A175" s="49" t="s">
        <v>448</v>
      </c>
      <c r="B175" s="50" t="s">
        <v>449</v>
      </c>
      <c r="C175" s="50" t="s">
        <v>9</v>
      </c>
      <c r="D175" s="51" t="n">
        <v>10770</v>
      </c>
      <c r="E175" s="52" t="n">
        <v>0</v>
      </c>
      <c r="F175" s="51" t="n">
        <f aca="false">+D175*(1+E175)</f>
        <v>10770</v>
      </c>
    </row>
    <row r="176" customFormat="false" ht="16.5" hidden="false" customHeight="false" outlineLevel="0" collapsed="false">
      <c r="A176" s="49" t="s">
        <v>450</v>
      </c>
      <c r="B176" s="50" t="s">
        <v>451</v>
      </c>
      <c r="C176" s="50" t="s">
        <v>360</v>
      </c>
      <c r="D176" s="51" t="n">
        <v>64770</v>
      </c>
      <c r="E176" s="52" t="n">
        <v>0</v>
      </c>
      <c r="F176" s="51" t="n">
        <f aca="false">+D176*(1+E176)</f>
        <v>64770</v>
      </c>
    </row>
    <row r="177" customFormat="false" ht="16.5" hidden="false" customHeight="false" outlineLevel="0" collapsed="false">
      <c r="A177" s="49" t="s">
        <v>452</v>
      </c>
      <c r="B177" s="50" t="s">
        <v>453</v>
      </c>
      <c r="C177" s="50" t="s">
        <v>9</v>
      </c>
      <c r="D177" s="51" t="n">
        <v>7970</v>
      </c>
      <c r="E177" s="52" t="n">
        <v>0</v>
      </c>
      <c r="F177" s="51" t="n">
        <f aca="false">+D177*(1+E177)</f>
        <v>7970</v>
      </c>
    </row>
    <row r="178" customFormat="false" ht="16.5" hidden="false" customHeight="false" outlineLevel="0" collapsed="false">
      <c r="A178" s="49" t="s">
        <v>454</v>
      </c>
      <c r="B178" s="50" t="s">
        <v>455</v>
      </c>
      <c r="C178" s="50" t="s">
        <v>9</v>
      </c>
      <c r="D178" s="51" t="n">
        <v>4290</v>
      </c>
      <c r="E178" s="52" t="n">
        <v>0</v>
      </c>
      <c r="F178" s="51" t="n">
        <f aca="false">+D178*(1+E178)</f>
        <v>4290</v>
      </c>
    </row>
    <row r="179" customFormat="false" ht="16.5" hidden="false" customHeight="false" outlineLevel="0" collapsed="false">
      <c r="A179" s="49" t="s">
        <v>456</v>
      </c>
      <c r="B179" s="50" t="s">
        <v>457</v>
      </c>
      <c r="C179" s="50" t="s">
        <v>9</v>
      </c>
      <c r="D179" s="51" t="n">
        <v>7350</v>
      </c>
      <c r="E179" s="52" t="n">
        <v>0</v>
      </c>
      <c r="F179" s="51" t="n">
        <f aca="false">+D179*(1+E179)</f>
        <v>7350</v>
      </c>
    </row>
    <row r="180" customFormat="false" ht="16.5" hidden="false" customHeight="false" outlineLevel="0" collapsed="false">
      <c r="A180" s="49" t="s">
        <v>458</v>
      </c>
      <c r="B180" s="50" t="s">
        <v>459</v>
      </c>
      <c r="C180" s="50" t="s">
        <v>360</v>
      </c>
      <c r="D180" s="51" t="n">
        <v>69990</v>
      </c>
      <c r="E180" s="52" t="n">
        <v>0</v>
      </c>
      <c r="F180" s="51" t="n">
        <f aca="false">+D180*(1+E180)</f>
        <v>69990</v>
      </c>
    </row>
    <row r="181" customFormat="false" ht="16.5" hidden="false" customHeight="false" outlineLevel="0" collapsed="false">
      <c r="A181" s="49" t="s">
        <v>460</v>
      </c>
      <c r="B181" s="50" t="s">
        <v>461</v>
      </c>
      <c r="C181" s="50" t="s">
        <v>9</v>
      </c>
      <c r="D181" s="51" t="n">
        <v>8050</v>
      </c>
      <c r="E181" s="52" t="n">
        <v>0</v>
      </c>
      <c r="F181" s="51" t="n">
        <f aca="false">+D181*(1+E181)</f>
        <v>8050</v>
      </c>
    </row>
    <row r="182" customFormat="false" ht="15.75" hidden="false" customHeight="false" outlineLevel="0" collapsed="false">
      <c r="C182" s="32"/>
      <c r="D182" s="33"/>
    </row>
    <row r="183" customFormat="false" ht="19.5" hidden="false" customHeight="false" outlineLevel="0" collapsed="false">
      <c r="A183" s="43" t="s">
        <v>462</v>
      </c>
      <c r="B183" s="43"/>
      <c r="C183" s="43"/>
      <c r="D183" s="43"/>
      <c r="E183" s="43"/>
    </row>
    <row r="184" customFormat="false" ht="31.5" hidden="false" customHeight="false" outlineLevel="0" collapsed="false">
      <c r="A184" s="44" t="s">
        <v>167</v>
      </c>
      <c r="B184" s="45" t="s">
        <v>168</v>
      </c>
      <c r="C184" s="45" t="s">
        <v>9</v>
      </c>
      <c r="D184" s="46" t="s">
        <v>10</v>
      </c>
      <c r="E184" s="47" t="s">
        <v>11</v>
      </c>
      <c r="F184" s="48" t="s">
        <v>169</v>
      </c>
    </row>
    <row r="185" customFormat="false" ht="16.5" hidden="false" customHeight="false" outlineLevel="0" collapsed="false">
      <c r="A185" s="49" t="s">
        <v>463</v>
      </c>
      <c r="B185" s="50" t="s">
        <v>464</v>
      </c>
      <c r="C185" s="50" t="s">
        <v>171</v>
      </c>
      <c r="D185" s="51" t="n">
        <v>373025</v>
      </c>
      <c r="E185" s="52" t="n">
        <v>0.19</v>
      </c>
      <c r="F185" s="51" t="n">
        <f aca="false">+D185*(1+E185)</f>
        <v>443899.75</v>
      </c>
    </row>
    <row r="186" customFormat="false" ht="16.5" hidden="false" customHeight="false" outlineLevel="0" collapsed="false">
      <c r="A186" s="49" t="s">
        <v>465</v>
      </c>
      <c r="B186" s="50" t="s">
        <v>466</v>
      </c>
      <c r="C186" s="50" t="s">
        <v>171</v>
      </c>
      <c r="D186" s="51" t="n">
        <v>917042</v>
      </c>
      <c r="E186" s="52" t="n">
        <v>0.19</v>
      </c>
      <c r="F186" s="51" t="n">
        <f aca="false">+D186*(1+E186)</f>
        <v>1091279.98</v>
      </c>
    </row>
    <row r="187" customFormat="false" ht="16.5" hidden="false" customHeight="false" outlineLevel="0" collapsed="false">
      <c r="A187" s="49" t="s">
        <v>467</v>
      </c>
      <c r="B187" s="50" t="s">
        <v>468</v>
      </c>
      <c r="C187" s="50" t="s">
        <v>9</v>
      </c>
      <c r="D187" s="51" t="n">
        <v>21244</v>
      </c>
      <c r="E187" s="52" t="n">
        <v>0.19</v>
      </c>
      <c r="F187" s="51" t="n">
        <f aca="false">+D187*(1+E187)</f>
        <v>25280.36</v>
      </c>
    </row>
    <row r="188" customFormat="false" ht="16.5" hidden="false" customHeight="false" outlineLevel="0" collapsed="false">
      <c r="A188" s="49" t="s">
        <v>469</v>
      </c>
      <c r="B188" s="50" t="s">
        <v>470</v>
      </c>
      <c r="C188" s="50" t="s">
        <v>9</v>
      </c>
      <c r="D188" s="51" t="n">
        <v>10773</v>
      </c>
      <c r="E188" s="52" t="n">
        <v>0.19</v>
      </c>
      <c r="F188" s="51" t="n">
        <f aca="false">+D188*(1+E188)</f>
        <v>12819.87</v>
      </c>
    </row>
    <row r="189" customFormat="false" ht="16.5" hidden="false" customHeight="false" outlineLevel="0" collapsed="false">
      <c r="A189" s="49" t="s">
        <v>471</v>
      </c>
      <c r="B189" s="50" t="s">
        <v>472</v>
      </c>
      <c r="C189" s="50" t="s">
        <v>9</v>
      </c>
      <c r="D189" s="51" t="n">
        <v>5681</v>
      </c>
      <c r="E189" s="52" t="n">
        <v>0.19</v>
      </c>
      <c r="F189" s="51" t="n">
        <f aca="false">+D189*(1+E189)</f>
        <v>6760.39</v>
      </c>
    </row>
    <row r="190" customFormat="false" ht="16.5" hidden="false" customHeight="false" outlineLevel="0" collapsed="false">
      <c r="A190" s="49" t="s">
        <v>473</v>
      </c>
      <c r="B190" s="50" t="s">
        <v>474</v>
      </c>
      <c r="C190" s="50" t="s">
        <v>9</v>
      </c>
      <c r="D190" s="51" t="n">
        <v>10773</v>
      </c>
      <c r="E190" s="52" t="n">
        <v>0.19</v>
      </c>
      <c r="F190" s="51" t="n">
        <f aca="false">+D190*(1+E190)</f>
        <v>12819.87</v>
      </c>
    </row>
    <row r="191" customFormat="false" ht="16.5" hidden="false" customHeight="false" outlineLevel="0" collapsed="false">
      <c r="A191" s="49" t="s">
        <v>475</v>
      </c>
      <c r="B191" s="50" t="s">
        <v>476</v>
      </c>
      <c r="C191" s="50" t="s">
        <v>9</v>
      </c>
      <c r="D191" s="51" t="n">
        <v>5681</v>
      </c>
      <c r="E191" s="52" t="n">
        <v>0.19</v>
      </c>
      <c r="F191" s="51" t="n">
        <f aca="false">+D191*(1+E191)</f>
        <v>6760.39</v>
      </c>
    </row>
    <row r="192" customFormat="false" ht="16.5" hidden="false" customHeight="false" outlineLevel="0" collapsed="false">
      <c r="A192" s="49" t="s">
        <v>477</v>
      </c>
      <c r="B192" s="50" t="s">
        <v>478</v>
      </c>
      <c r="C192" s="50" t="s">
        <v>171</v>
      </c>
      <c r="D192" s="51" t="n">
        <v>13202</v>
      </c>
      <c r="E192" s="52" t="n">
        <v>0.19</v>
      </c>
      <c r="F192" s="51" t="n">
        <f aca="false">+D192*(1+E192)</f>
        <v>15710.38</v>
      </c>
    </row>
    <row r="193" customFormat="false" ht="15.75" hidden="false" customHeight="false" outlineLevel="0" collapsed="false">
      <c r="A193" s="31"/>
      <c r="D193" s="74"/>
      <c r="E193" s="31"/>
    </row>
    <row r="194" customFormat="false" ht="19.5" hidden="false" customHeight="false" outlineLevel="0" collapsed="false">
      <c r="A194" s="75" t="s">
        <v>479</v>
      </c>
      <c r="B194" s="75"/>
      <c r="C194" s="75"/>
      <c r="D194" s="75"/>
      <c r="E194" s="75"/>
    </row>
    <row r="195" customFormat="false" ht="31.5" hidden="false" customHeight="false" outlineLevel="0" collapsed="false">
      <c r="A195" s="44" t="s">
        <v>167</v>
      </c>
      <c r="B195" s="45" t="s">
        <v>168</v>
      </c>
      <c r="C195" s="45" t="s">
        <v>9</v>
      </c>
      <c r="D195" s="46" t="s">
        <v>10</v>
      </c>
      <c r="E195" s="47" t="s">
        <v>11</v>
      </c>
      <c r="F195" s="48" t="s">
        <v>169</v>
      </c>
    </row>
    <row r="196" customFormat="false" ht="16.5" hidden="false" customHeight="false" outlineLevel="0" collapsed="false">
      <c r="A196" s="49" t="s">
        <v>480</v>
      </c>
      <c r="B196" s="50" t="s">
        <v>481</v>
      </c>
      <c r="C196" s="50" t="s">
        <v>9</v>
      </c>
      <c r="D196" s="51" t="n">
        <v>173230</v>
      </c>
      <c r="E196" s="52" t="n">
        <v>0</v>
      </c>
      <c r="F196" s="51" t="n">
        <f aca="false">+D196*(1+E196)</f>
        <v>173230</v>
      </c>
    </row>
    <row r="197" customFormat="false" ht="16.5" hidden="false" customHeight="false" outlineLevel="0" collapsed="false">
      <c r="A197" s="49" t="s">
        <v>482</v>
      </c>
      <c r="B197" s="50" t="s">
        <v>483</v>
      </c>
      <c r="C197" s="50" t="s">
        <v>9</v>
      </c>
      <c r="D197" s="51" t="n">
        <v>95060</v>
      </c>
      <c r="E197" s="52" t="n">
        <v>0</v>
      </c>
      <c r="F197" s="51" t="n">
        <f aca="false">+D197*(1+E197)</f>
        <v>95060</v>
      </c>
    </row>
    <row r="198" customFormat="false" ht="16.5" hidden="false" customHeight="false" outlineLevel="0" collapsed="false">
      <c r="A198" s="49" t="s">
        <v>484</v>
      </c>
      <c r="B198" s="50" t="s">
        <v>485</v>
      </c>
      <c r="C198" s="50" t="s">
        <v>486</v>
      </c>
      <c r="D198" s="51" t="n">
        <v>25260</v>
      </c>
      <c r="E198" s="52" t="n">
        <v>0</v>
      </c>
      <c r="F198" s="51" t="n">
        <f aca="false">+D198*(1+E198)</f>
        <v>25260</v>
      </c>
    </row>
    <row r="199" customFormat="false" ht="16.5" hidden="false" customHeight="false" outlineLevel="0" collapsed="false">
      <c r="A199" s="49" t="s">
        <v>487</v>
      </c>
      <c r="B199" s="50" t="s">
        <v>488</v>
      </c>
      <c r="C199" s="50" t="s">
        <v>9</v>
      </c>
      <c r="D199" s="51" t="n">
        <v>86260</v>
      </c>
      <c r="E199" s="52" t="n">
        <v>0</v>
      </c>
      <c r="F199" s="51" t="n">
        <f aca="false">+D199*(1+E199)</f>
        <v>86260</v>
      </c>
    </row>
    <row r="200" customFormat="false" ht="16.5" hidden="false" customHeight="false" outlineLevel="0" collapsed="false">
      <c r="A200" s="49" t="s">
        <v>489</v>
      </c>
      <c r="B200" s="50" t="s">
        <v>490</v>
      </c>
      <c r="C200" s="50" t="s">
        <v>9</v>
      </c>
      <c r="D200" s="51" t="n">
        <v>157200</v>
      </c>
      <c r="E200" s="52" t="n">
        <v>0</v>
      </c>
      <c r="F200" s="51" t="n">
        <f aca="false">+D200*(1+E200)</f>
        <v>157200</v>
      </c>
    </row>
    <row r="201" customFormat="false" ht="16.5" hidden="false" customHeight="false" outlineLevel="0" collapsed="false">
      <c r="A201" s="49" t="s">
        <v>491</v>
      </c>
      <c r="B201" s="50" t="s">
        <v>492</v>
      </c>
      <c r="C201" s="50" t="s">
        <v>486</v>
      </c>
      <c r="D201" s="51" t="n">
        <v>22920</v>
      </c>
      <c r="E201" s="52" t="n">
        <v>0</v>
      </c>
      <c r="F201" s="51" t="n">
        <f aca="false">+D201*(1+E201)</f>
        <v>22920</v>
      </c>
    </row>
    <row r="202" customFormat="false" ht="16.5" hidden="false" customHeight="false" outlineLevel="0" collapsed="false">
      <c r="A202" s="49" t="s">
        <v>493</v>
      </c>
      <c r="B202" s="50" t="s">
        <v>494</v>
      </c>
      <c r="C202" s="50" t="s">
        <v>9</v>
      </c>
      <c r="D202" s="51" t="n">
        <v>15730</v>
      </c>
      <c r="E202" s="52" t="n">
        <v>0</v>
      </c>
      <c r="F202" s="51" t="n">
        <f aca="false">+D202*(1+E202)</f>
        <v>15730</v>
      </c>
    </row>
    <row r="203" customFormat="false" ht="16.5" hidden="false" customHeight="false" outlineLevel="0" collapsed="false">
      <c r="A203" s="49" t="s">
        <v>495</v>
      </c>
      <c r="B203" s="50" t="s">
        <v>496</v>
      </c>
      <c r="C203" s="50" t="s">
        <v>9</v>
      </c>
      <c r="D203" s="51" t="n">
        <v>3200</v>
      </c>
      <c r="E203" s="52" t="n">
        <v>0</v>
      </c>
      <c r="F203" s="51" t="n">
        <f aca="false">+D203*(1+E203)</f>
        <v>3200</v>
      </c>
    </row>
    <row r="204" customFormat="false" ht="15.75" hidden="false" customHeight="false" outlineLevel="0" collapsed="false"/>
    <row r="205" customFormat="false" ht="19.5" hidden="false" customHeight="false" outlineLevel="0" collapsed="false">
      <c r="A205" s="43" t="s">
        <v>497</v>
      </c>
      <c r="B205" s="43"/>
      <c r="C205" s="43"/>
      <c r="D205" s="43"/>
      <c r="E205" s="43"/>
    </row>
    <row r="206" customFormat="false" ht="31.5" hidden="false" customHeight="false" outlineLevel="0" collapsed="false">
      <c r="A206" s="44" t="s">
        <v>167</v>
      </c>
      <c r="B206" s="45" t="s">
        <v>168</v>
      </c>
      <c r="C206" s="45" t="s">
        <v>9</v>
      </c>
      <c r="D206" s="46" t="s">
        <v>10</v>
      </c>
      <c r="E206" s="47" t="s">
        <v>11</v>
      </c>
      <c r="F206" s="48" t="s">
        <v>169</v>
      </c>
    </row>
    <row r="207" customFormat="false" ht="16.5" hidden="false" customHeight="false" outlineLevel="0" collapsed="false">
      <c r="A207" s="49" t="s">
        <v>498</v>
      </c>
      <c r="B207" s="50" t="s">
        <v>499</v>
      </c>
      <c r="C207" s="50" t="s">
        <v>9</v>
      </c>
      <c r="D207" s="51" t="n">
        <v>5286</v>
      </c>
      <c r="E207" s="52" t="n">
        <v>0.19</v>
      </c>
      <c r="F207" s="51" t="n">
        <f aca="false">+D207*(1+E207)</f>
        <v>6290.34</v>
      </c>
    </row>
    <row r="208" customFormat="false" ht="16.5" hidden="false" customHeight="false" outlineLevel="0" collapsed="false">
      <c r="A208" s="49" t="s">
        <v>500</v>
      </c>
      <c r="B208" s="50" t="s">
        <v>501</v>
      </c>
      <c r="C208" s="50" t="s">
        <v>171</v>
      </c>
      <c r="D208" s="51" t="n">
        <v>78748</v>
      </c>
      <c r="E208" s="52" t="n">
        <v>0.19</v>
      </c>
      <c r="F208" s="51" t="n">
        <f aca="false">+D208*(1+E208)</f>
        <v>93710.12</v>
      </c>
    </row>
    <row r="209" customFormat="false" ht="16.5" hidden="false" customHeight="false" outlineLevel="0" collapsed="false">
      <c r="A209" s="49" t="s">
        <v>502</v>
      </c>
      <c r="B209" s="50" t="s">
        <v>503</v>
      </c>
      <c r="C209" s="50" t="s">
        <v>171</v>
      </c>
      <c r="D209" s="51" t="n">
        <v>153336</v>
      </c>
      <c r="E209" s="52" t="n">
        <v>0.19</v>
      </c>
      <c r="F209" s="51" t="n">
        <f aca="false">+D209*(1+E209)</f>
        <v>182469.84</v>
      </c>
    </row>
    <row r="210" customFormat="false" ht="16.5" hidden="false" customHeight="false" outlineLevel="0" collapsed="false">
      <c r="A210" s="49" t="s">
        <v>504</v>
      </c>
      <c r="B210" s="50" t="s">
        <v>505</v>
      </c>
      <c r="C210" s="50" t="s">
        <v>171</v>
      </c>
      <c r="D210" s="51" t="n">
        <v>6370</v>
      </c>
      <c r="E210" s="52" t="n">
        <v>0.19</v>
      </c>
      <c r="F210" s="51" t="n">
        <f aca="false">+D210*(1+E210)</f>
        <v>7580.3</v>
      </c>
    </row>
    <row r="211" customFormat="false" ht="16.5" hidden="false" customHeight="false" outlineLevel="0" collapsed="false">
      <c r="A211" s="49" t="s">
        <v>506</v>
      </c>
      <c r="B211" s="50" t="s">
        <v>507</v>
      </c>
      <c r="C211" s="50" t="s">
        <v>9</v>
      </c>
      <c r="D211" s="51" t="n">
        <v>4916</v>
      </c>
      <c r="E211" s="52" t="n">
        <v>0.19</v>
      </c>
      <c r="F211" s="51" t="n">
        <f aca="false">+D211*(1+E211)</f>
        <v>5850.04</v>
      </c>
    </row>
    <row r="212" customFormat="false" ht="16.5" hidden="false" customHeight="false" outlineLevel="0" collapsed="false">
      <c r="A212" s="49" t="s">
        <v>508</v>
      </c>
      <c r="B212" s="50" t="s">
        <v>509</v>
      </c>
      <c r="C212" s="50" t="s">
        <v>9</v>
      </c>
      <c r="D212" s="51" t="n">
        <v>1739</v>
      </c>
      <c r="E212" s="52" t="n">
        <v>0.19</v>
      </c>
      <c r="F212" s="51" t="n">
        <f aca="false">+D212*(1+E212)</f>
        <v>2069.41</v>
      </c>
    </row>
    <row r="213" customFormat="false" ht="16.5" hidden="false" customHeight="false" outlineLevel="0" collapsed="false">
      <c r="A213" s="49" t="s">
        <v>510</v>
      </c>
      <c r="B213" s="50" t="s">
        <v>511</v>
      </c>
      <c r="C213" s="50" t="s">
        <v>9</v>
      </c>
      <c r="D213" s="51" t="n">
        <v>4664</v>
      </c>
      <c r="E213" s="52" t="n">
        <v>0.19</v>
      </c>
      <c r="F213" s="51" t="n">
        <f aca="false">+D213*(1+E213)</f>
        <v>5550.16</v>
      </c>
    </row>
    <row r="214" customFormat="false" ht="16.5" hidden="false" customHeight="false" outlineLevel="0" collapsed="false">
      <c r="A214" s="49" t="s">
        <v>512</v>
      </c>
      <c r="B214" s="50" t="s">
        <v>513</v>
      </c>
      <c r="C214" s="50" t="s">
        <v>9</v>
      </c>
      <c r="D214" s="51" t="n">
        <v>18000</v>
      </c>
      <c r="E214" s="52" t="n">
        <v>0.19</v>
      </c>
      <c r="F214" s="51" t="n">
        <f aca="false">+D214*(1+E214)</f>
        <v>21420</v>
      </c>
    </row>
    <row r="215" customFormat="false" ht="16.5" hidden="false" customHeight="false" outlineLevel="0" collapsed="false">
      <c r="A215" s="49" t="s">
        <v>514</v>
      </c>
      <c r="B215" s="50" t="s">
        <v>515</v>
      </c>
      <c r="C215" s="50" t="s">
        <v>171</v>
      </c>
      <c r="D215" s="51" t="n">
        <v>78681</v>
      </c>
      <c r="E215" s="52" t="n">
        <v>0.19</v>
      </c>
      <c r="F215" s="51" t="n">
        <f aca="false">+D215*(1+E215)</f>
        <v>93630.39</v>
      </c>
    </row>
    <row r="216" customFormat="false" ht="16.5" hidden="false" customHeight="false" outlineLevel="0" collapsed="false">
      <c r="A216" s="49" t="s">
        <v>516</v>
      </c>
      <c r="B216" s="50" t="s">
        <v>517</v>
      </c>
      <c r="C216" s="50" t="s">
        <v>9</v>
      </c>
      <c r="D216" s="51" t="n">
        <v>8891</v>
      </c>
      <c r="E216" s="52" t="n">
        <v>0.19</v>
      </c>
      <c r="F216" s="51" t="n">
        <f aca="false">+D216*(1+E216)</f>
        <v>10580.29</v>
      </c>
    </row>
    <row r="217" customFormat="false" ht="16.5" hidden="false" customHeight="false" outlineLevel="0" collapsed="false">
      <c r="A217" s="49" t="s">
        <v>518</v>
      </c>
      <c r="B217" s="50" t="s">
        <v>519</v>
      </c>
      <c r="C217" s="50" t="s">
        <v>9</v>
      </c>
      <c r="D217" s="51" t="n">
        <v>5153</v>
      </c>
      <c r="E217" s="52" t="n">
        <v>0.19</v>
      </c>
      <c r="F217" s="51" t="n">
        <f aca="false">+D217*(1+E217)</f>
        <v>6132.07</v>
      </c>
    </row>
    <row r="218" customFormat="false" ht="16.5" hidden="false" customHeight="false" outlineLevel="0" collapsed="false">
      <c r="A218" s="49" t="s">
        <v>520</v>
      </c>
      <c r="B218" s="50" t="s">
        <v>521</v>
      </c>
      <c r="C218" s="50" t="s">
        <v>9</v>
      </c>
      <c r="D218" s="51" t="n">
        <v>9102</v>
      </c>
      <c r="E218" s="52" t="n">
        <v>0.19</v>
      </c>
      <c r="F218" s="51" t="n">
        <f aca="false">+D218*(1+E218)</f>
        <v>10831.38</v>
      </c>
    </row>
    <row r="219" customFormat="false" ht="15.75" hidden="false" customHeight="false" outlineLevel="0" collapsed="false">
      <c r="A219" s="65"/>
      <c r="B219" s="66"/>
      <c r="C219" s="66"/>
      <c r="D219" s="67"/>
      <c r="E219" s="68"/>
      <c r="F219" s="66"/>
    </row>
    <row r="220" customFormat="false" ht="19.5" hidden="false" customHeight="false" outlineLevel="0" collapsed="false">
      <c r="A220" s="76" t="s">
        <v>522</v>
      </c>
      <c r="B220" s="76"/>
      <c r="C220" s="76"/>
      <c r="D220" s="76"/>
      <c r="E220" s="76"/>
      <c r="F220" s="66"/>
    </row>
    <row r="221" customFormat="false" ht="31.5" hidden="false" customHeight="false" outlineLevel="0" collapsed="false">
      <c r="A221" s="44" t="s">
        <v>167</v>
      </c>
      <c r="B221" s="45" t="s">
        <v>168</v>
      </c>
      <c r="C221" s="45" t="s">
        <v>9</v>
      </c>
      <c r="D221" s="46" t="s">
        <v>10</v>
      </c>
      <c r="E221" s="47" t="s">
        <v>11</v>
      </c>
      <c r="F221" s="48" t="s">
        <v>169</v>
      </c>
    </row>
    <row r="222" customFormat="false" ht="16.5" hidden="false" customHeight="false" outlineLevel="0" collapsed="false">
      <c r="A222" s="49" t="s">
        <v>523</v>
      </c>
      <c r="B222" s="50" t="s">
        <v>524</v>
      </c>
      <c r="C222" s="50" t="s">
        <v>525</v>
      </c>
      <c r="D222" s="51" t="n">
        <v>2588</v>
      </c>
      <c r="E222" s="52" t="n">
        <v>0.19</v>
      </c>
      <c r="F222" s="51" t="n">
        <f aca="false">+D222*(1+E222)</f>
        <v>3079.72</v>
      </c>
    </row>
    <row r="223" customFormat="false" ht="16.5" hidden="false" customHeight="false" outlineLevel="0" collapsed="false">
      <c r="A223" s="49" t="s">
        <v>526</v>
      </c>
      <c r="B223" s="50" t="s">
        <v>527</v>
      </c>
      <c r="C223" s="50" t="s">
        <v>525</v>
      </c>
      <c r="D223" s="51" t="n">
        <v>2665</v>
      </c>
      <c r="E223" s="52" t="n">
        <v>0.19</v>
      </c>
      <c r="F223" s="51" t="n">
        <f aca="false">+D223*(1+E223)</f>
        <v>3171.35</v>
      </c>
    </row>
    <row r="224" customFormat="false" ht="16.5" hidden="false" customHeight="false" outlineLevel="0" collapsed="false">
      <c r="A224" s="49" t="s">
        <v>528</v>
      </c>
      <c r="B224" s="50" t="s">
        <v>529</v>
      </c>
      <c r="C224" s="50" t="s">
        <v>525</v>
      </c>
      <c r="D224" s="51" t="n">
        <v>2588</v>
      </c>
      <c r="E224" s="52" t="n">
        <v>0.19</v>
      </c>
      <c r="F224" s="51" t="n">
        <f aca="false">+D224*(1+E224)</f>
        <v>3079.72</v>
      </c>
    </row>
    <row r="225" customFormat="false" ht="16.5" hidden="false" customHeight="false" outlineLevel="0" collapsed="false">
      <c r="A225" s="49" t="s">
        <v>530</v>
      </c>
      <c r="B225" s="50" t="s">
        <v>531</v>
      </c>
      <c r="C225" s="50" t="s">
        <v>14</v>
      </c>
      <c r="D225" s="51" t="n">
        <v>6693</v>
      </c>
      <c r="E225" s="52" t="n">
        <v>0.19</v>
      </c>
      <c r="F225" s="51" t="n">
        <f aca="false">+D225*(1+E225)</f>
        <v>7964.67</v>
      </c>
    </row>
    <row r="226" customFormat="false" ht="16.5" hidden="false" customHeight="false" outlineLevel="0" collapsed="false">
      <c r="A226" s="49" t="s">
        <v>532</v>
      </c>
      <c r="B226" s="50" t="s">
        <v>533</v>
      </c>
      <c r="C226" s="50" t="s">
        <v>14</v>
      </c>
      <c r="D226" s="51" t="n">
        <v>6769</v>
      </c>
      <c r="E226" s="52" t="n">
        <v>0.19</v>
      </c>
      <c r="F226" s="51" t="n">
        <f aca="false">+D226*(1+E226)</f>
        <v>8055.11</v>
      </c>
    </row>
    <row r="227" customFormat="false" ht="16.5" hidden="false" customHeight="false" outlineLevel="0" collapsed="false">
      <c r="A227" s="49" t="s">
        <v>534</v>
      </c>
      <c r="B227" s="50" t="s">
        <v>535</v>
      </c>
      <c r="C227" s="50" t="s">
        <v>14</v>
      </c>
      <c r="D227" s="51" t="n">
        <v>6693</v>
      </c>
      <c r="E227" s="52" t="n">
        <v>0.19</v>
      </c>
      <c r="F227" s="51" t="n">
        <f aca="false">+D227*(1+E227)</f>
        <v>7964.67</v>
      </c>
    </row>
    <row r="228" customFormat="false" ht="16.5" hidden="false" customHeight="false" outlineLevel="0" collapsed="false">
      <c r="A228" s="49" t="s">
        <v>536</v>
      </c>
      <c r="B228" s="50" t="s">
        <v>537</v>
      </c>
      <c r="C228" s="50" t="s">
        <v>91</v>
      </c>
      <c r="D228" s="51" t="n">
        <v>31674</v>
      </c>
      <c r="E228" s="52" t="n">
        <v>0.19</v>
      </c>
      <c r="F228" s="51" t="n">
        <f aca="false">+D228*(1+E228)</f>
        <v>37692.06</v>
      </c>
    </row>
    <row r="229" customFormat="false" ht="16.5" hidden="false" customHeight="false" outlineLevel="0" collapsed="false">
      <c r="A229" s="49" t="s">
        <v>538</v>
      </c>
      <c r="B229" s="50" t="s">
        <v>539</v>
      </c>
      <c r="C229" s="50" t="s">
        <v>91</v>
      </c>
      <c r="D229" s="51" t="n">
        <v>31200.9595851827</v>
      </c>
      <c r="E229" s="52" t="n">
        <v>0.19</v>
      </c>
      <c r="F229" s="51" t="n">
        <f aca="false">+D229*(1+E229)</f>
        <v>37129.1419063674</v>
      </c>
    </row>
    <row r="230" customFormat="false" ht="16.5" hidden="false" customHeight="false" outlineLevel="0" collapsed="false">
      <c r="A230" s="49" t="s">
        <v>540</v>
      </c>
      <c r="B230" s="50" t="s">
        <v>541</v>
      </c>
      <c r="C230" s="50" t="s">
        <v>525</v>
      </c>
      <c r="D230" s="51" t="n">
        <v>2151</v>
      </c>
      <c r="E230" s="52" t="n">
        <v>0.19</v>
      </c>
      <c r="F230" s="51" t="n">
        <f aca="false">+D230*(1+E230)</f>
        <v>2559.69</v>
      </c>
    </row>
    <row r="231" customFormat="false" ht="16.5" hidden="false" customHeight="false" outlineLevel="0" collapsed="false">
      <c r="A231" s="49" t="s">
        <v>542</v>
      </c>
      <c r="B231" s="50" t="s">
        <v>543</v>
      </c>
      <c r="C231" s="50" t="s">
        <v>525</v>
      </c>
      <c r="D231" s="51" t="n">
        <v>2192</v>
      </c>
      <c r="E231" s="52" t="n">
        <v>0.19</v>
      </c>
      <c r="F231" s="51" t="n">
        <f aca="false">+D231*(1+E231)</f>
        <v>2608.48</v>
      </c>
    </row>
    <row r="232" customFormat="false" ht="16.5" hidden="false" customHeight="false" outlineLevel="0" collapsed="false">
      <c r="A232" s="49" t="s">
        <v>544</v>
      </c>
      <c r="B232" s="50" t="s">
        <v>545</v>
      </c>
      <c r="C232" s="50" t="s">
        <v>525</v>
      </c>
      <c r="D232" s="51" t="n">
        <v>2192</v>
      </c>
      <c r="E232" s="52" t="n">
        <v>0.19</v>
      </c>
      <c r="F232" s="51" t="n">
        <f aca="false">+D232*(1+E232)</f>
        <v>2608.48</v>
      </c>
    </row>
    <row r="233" customFormat="false" ht="16.5" hidden="false" customHeight="false" outlineLevel="0" collapsed="false">
      <c r="A233" s="49" t="s">
        <v>546</v>
      </c>
      <c r="B233" s="50" t="s">
        <v>547</v>
      </c>
      <c r="C233" s="50" t="s">
        <v>525</v>
      </c>
      <c r="D233" s="51" t="n">
        <v>2192</v>
      </c>
      <c r="E233" s="52" t="n">
        <v>0.19</v>
      </c>
      <c r="F233" s="51" t="n">
        <f aca="false">+D233*(1+E233)</f>
        <v>2608.48</v>
      </c>
    </row>
    <row r="234" customFormat="false" ht="16.5" hidden="false" customHeight="false" outlineLevel="0" collapsed="false">
      <c r="A234" s="49" t="s">
        <v>548</v>
      </c>
      <c r="B234" s="50" t="s">
        <v>549</v>
      </c>
      <c r="C234" s="50" t="s">
        <v>550</v>
      </c>
      <c r="D234" s="51" t="n">
        <v>1829</v>
      </c>
      <c r="E234" s="52" t="n">
        <v>0.19</v>
      </c>
      <c r="F234" s="51" t="n">
        <f aca="false">+D234*(1+E234)</f>
        <v>2176.51</v>
      </c>
    </row>
    <row r="235" customFormat="false" ht="16.5" hidden="false" customHeight="false" outlineLevel="0" collapsed="false">
      <c r="A235" s="49" t="s">
        <v>551</v>
      </c>
      <c r="B235" s="50" t="s">
        <v>552</v>
      </c>
      <c r="C235" s="50" t="s">
        <v>550</v>
      </c>
      <c r="D235" s="51" t="n">
        <v>1829</v>
      </c>
      <c r="E235" s="52" t="n">
        <v>0.19</v>
      </c>
      <c r="F235" s="51" t="n">
        <f aca="false">+D235*(1+E235)</f>
        <v>2176.51</v>
      </c>
    </row>
    <row r="236" customFormat="false" ht="16.5" hidden="false" customHeight="false" outlineLevel="0" collapsed="false">
      <c r="A236" s="49" t="s">
        <v>553</v>
      </c>
      <c r="B236" s="50" t="s">
        <v>554</v>
      </c>
      <c r="C236" s="50" t="s">
        <v>550</v>
      </c>
      <c r="D236" s="51" t="n">
        <v>1829</v>
      </c>
      <c r="E236" s="52" t="n">
        <v>0.19</v>
      </c>
      <c r="F236" s="51" t="n">
        <f aca="false">+D236*(1+E236)</f>
        <v>2176.51</v>
      </c>
    </row>
    <row r="237" customFormat="false" ht="16.5" hidden="false" customHeight="false" outlineLevel="0" collapsed="false">
      <c r="A237" s="49" t="s">
        <v>555</v>
      </c>
      <c r="B237" s="50" t="s">
        <v>556</v>
      </c>
      <c r="C237" s="50" t="s">
        <v>550</v>
      </c>
      <c r="D237" s="51" t="n">
        <v>10354</v>
      </c>
      <c r="E237" s="52" t="n">
        <v>0.19</v>
      </c>
      <c r="F237" s="51" t="n">
        <f aca="false">+D237*(1+E237)</f>
        <v>12321.26</v>
      </c>
    </row>
    <row r="238" customFormat="false" ht="16.5" hidden="false" customHeight="false" outlineLevel="0" collapsed="false">
      <c r="A238" s="49" t="s">
        <v>557</v>
      </c>
      <c r="B238" s="50" t="s">
        <v>558</v>
      </c>
      <c r="C238" s="50" t="s">
        <v>525</v>
      </c>
      <c r="D238" s="51" t="n">
        <v>2907</v>
      </c>
      <c r="E238" s="52" t="n">
        <v>0.19</v>
      </c>
      <c r="F238" s="51" t="n">
        <f aca="false">+D238*(1+E238)</f>
        <v>3459.33</v>
      </c>
    </row>
    <row r="239" customFormat="false" ht="16.5" hidden="false" customHeight="false" outlineLevel="0" collapsed="false">
      <c r="A239" s="49" t="s">
        <v>559</v>
      </c>
      <c r="B239" s="50" t="s">
        <v>560</v>
      </c>
      <c r="C239" s="50" t="s">
        <v>525</v>
      </c>
      <c r="D239" s="51" t="n">
        <v>2907</v>
      </c>
      <c r="E239" s="52" t="n">
        <v>0.19</v>
      </c>
      <c r="F239" s="51" t="n">
        <f aca="false">+D239*(1+E239)</f>
        <v>3459.33</v>
      </c>
    </row>
    <row r="240" customFormat="false" ht="16.5" hidden="false" customHeight="false" outlineLevel="0" collapsed="false">
      <c r="A240" s="49" t="s">
        <v>561</v>
      </c>
      <c r="B240" s="50" t="s">
        <v>562</v>
      </c>
      <c r="C240" s="50" t="s">
        <v>525</v>
      </c>
      <c r="D240" s="51" t="n">
        <v>2907</v>
      </c>
      <c r="E240" s="52" t="n">
        <v>0.19</v>
      </c>
      <c r="F240" s="51" t="n">
        <f aca="false">+D240*(1+E240)</f>
        <v>3459.33</v>
      </c>
    </row>
    <row r="241" customFormat="false" ht="16.5" hidden="false" customHeight="false" outlineLevel="0" collapsed="false">
      <c r="A241" s="49" t="s">
        <v>563</v>
      </c>
      <c r="B241" s="50" t="s">
        <v>564</v>
      </c>
      <c r="C241" s="50" t="s">
        <v>91</v>
      </c>
      <c r="D241" s="51" t="n">
        <v>10739</v>
      </c>
      <c r="E241" s="52" t="n">
        <v>0.19</v>
      </c>
      <c r="F241" s="51" t="n">
        <f aca="false">+D241*(1+E241)</f>
        <v>12779.41</v>
      </c>
    </row>
    <row r="242" customFormat="false" ht="16.5" hidden="false" customHeight="false" outlineLevel="0" collapsed="false">
      <c r="A242" s="49" t="s">
        <v>565</v>
      </c>
      <c r="B242" s="50" t="s">
        <v>566</v>
      </c>
      <c r="C242" s="50" t="s">
        <v>91</v>
      </c>
      <c r="D242" s="51" t="n">
        <v>10739</v>
      </c>
      <c r="E242" s="52" t="n">
        <v>0.19</v>
      </c>
      <c r="F242" s="51" t="n">
        <f aca="false">+D242*(1+E242)</f>
        <v>12779.41</v>
      </c>
    </row>
    <row r="243" customFormat="false" ht="16.5" hidden="false" customHeight="false" outlineLevel="0" collapsed="false">
      <c r="A243" s="49" t="s">
        <v>567</v>
      </c>
      <c r="B243" s="50" t="s">
        <v>568</v>
      </c>
      <c r="C243" s="50" t="s">
        <v>91</v>
      </c>
      <c r="D243" s="51" t="n">
        <v>10739</v>
      </c>
      <c r="E243" s="52" t="n">
        <v>0.19</v>
      </c>
      <c r="F243" s="51" t="n">
        <f aca="false">+D243*(1+E243)</f>
        <v>12779.41</v>
      </c>
    </row>
    <row r="244" customFormat="false" ht="16.5" hidden="false" customHeight="false" outlineLevel="0" collapsed="false">
      <c r="A244" s="49" t="s">
        <v>569</v>
      </c>
      <c r="B244" s="50" t="s">
        <v>570</v>
      </c>
      <c r="C244" s="50" t="s">
        <v>91</v>
      </c>
      <c r="D244" s="51" t="n">
        <v>14340</v>
      </c>
      <c r="E244" s="52" t="n">
        <v>0.19</v>
      </c>
      <c r="F244" s="51" t="n">
        <f aca="false">+D244*(1+E244)</f>
        <v>17064.6</v>
      </c>
    </row>
    <row r="245" customFormat="false" ht="16.5" hidden="false" customHeight="false" outlineLevel="0" collapsed="false">
      <c r="A245" s="49" t="s">
        <v>571</v>
      </c>
      <c r="B245" s="50" t="s">
        <v>572</v>
      </c>
      <c r="C245" s="50" t="s">
        <v>91</v>
      </c>
      <c r="D245" s="51" t="n">
        <v>14340</v>
      </c>
      <c r="E245" s="52" t="n">
        <v>0.19</v>
      </c>
      <c r="F245" s="51" t="n">
        <f aca="false">+D245*(1+E245)</f>
        <v>17064.6</v>
      </c>
    </row>
    <row r="246" customFormat="false" ht="16.5" hidden="false" customHeight="false" outlineLevel="0" collapsed="false">
      <c r="A246" s="49" t="s">
        <v>573</v>
      </c>
      <c r="B246" s="50" t="s">
        <v>574</v>
      </c>
      <c r="C246" s="50" t="s">
        <v>91</v>
      </c>
      <c r="D246" s="51" t="n">
        <v>14870</v>
      </c>
      <c r="E246" s="52" t="n">
        <v>0.19</v>
      </c>
      <c r="F246" s="51" t="n">
        <f aca="false">+D246*(1+E246)</f>
        <v>17695.3</v>
      </c>
    </row>
    <row r="247" customFormat="false" ht="16.5" hidden="false" customHeight="false" outlineLevel="0" collapsed="false">
      <c r="A247" s="49" t="s">
        <v>575</v>
      </c>
      <c r="B247" s="50" t="s">
        <v>576</v>
      </c>
      <c r="C247" s="50" t="s">
        <v>91</v>
      </c>
      <c r="D247" s="51" t="n">
        <v>10981</v>
      </c>
      <c r="E247" s="52" t="n">
        <v>0.19</v>
      </c>
      <c r="F247" s="51" t="n">
        <f aca="false">+D247*(1+E247)</f>
        <v>13067.39</v>
      </c>
    </row>
    <row r="248" customFormat="false" ht="16.5" hidden="false" customHeight="false" outlineLevel="0" collapsed="false">
      <c r="A248" s="49" t="s">
        <v>577</v>
      </c>
      <c r="B248" s="50" t="s">
        <v>578</v>
      </c>
      <c r="C248" s="50" t="s">
        <v>525</v>
      </c>
      <c r="D248" s="51" t="n">
        <v>2252</v>
      </c>
      <c r="E248" s="52" t="n">
        <v>0.19</v>
      </c>
      <c r="F248" s="51" t="n">
        <f aca="false">+D248*(1+E248)</f>
        <v>2679.88</v>
      </c>
    </row>
    <row r="249" customFormat="false" ht="16.5" hidden="false" customHeight="false" outlineLevel="0" collapsed="false">
      <c r="A249" s="49" t="s">
        <v>579</v>
      </c>
      <c r="B249" s="50" t="s">
        <v>580</v>
      </c>
      <c r="C249" s="50" t="s">
        <v>525</v>
      </c>
      <c r="D249" s="51" t="n">
        <v>2252</v>
      </c>
      <c r="E249" s="52" t="n">
        <v>0.19</v>
      </c>
      <c r="F249" s="51" t="n">
        <f aca="false">+D249*(1+E249)</f>
        <v>2679.88</v>
      </c>
    </row>
    <row r="250" customFormat="false" ht="16.5" hidden="false" customHeight="false" outlineLevel="0" collapsed="false">
      <c r="A250" s="49" t="s">
        <v>581</v>
      </c>
      <c r="B250" s="50" t="s">
        <v>582</v>
      </c>
      <c r="C250" s="50" t="s">
        <v>525</v>
      </c>
      <c r="D250" s="51" t="n">
        <v>2252</v>
      </c>
      <c r="E250" s="52" t="n">
        <v>0.19</v>
      </c>
      <c r="F250" s="51" t="n">
        <f aca="false">+D250*(1+E250)</f>
        <v>2679.88</v>
      </c>
    </row>
    <row r="251" customFormat="false" ht="16.5" hidden="false" customHeight="false" outlineLevel="0" collapsed="false">
      <c r="A251" s="49" t="s">
        <v>583</v>
      </c>
      <c r="B251" s="50" t="s">
        <v>584</v>
      </c>
      <c r="C251" s="50" t="s">
        <v>14</v>
      </c>
      <c r="D251" s="51" t="n">
        <v>6874</v>
      </c>
      <c r="E251" s="52" t="n">
        <v>0.19</v>
      </c>
      <c r="F251" s="51" t="n">
        <f aca="false">+D251*(1+E251)</f>
        <v>8180.06</v>
      </c>
    </row>
    <row r="252" customFormat="false" ht="16.5" hidden="false" customHeight="false" outlineLevel="0" collapsed="false">
      <c r="A252" s="49" t="s">
        <v>585</v>
      </c>
      <c r="B252" s="50" t="s">
        <v>586</v>
      </c>
      <c r="C252" s="50" t="s">
        <v>14</v>
      </c>
      <c r="D252" s="51" t="n">
        <v>6874</v>
      </c>
      <c r="E252" s="52" t="n">
        <v>0.19</v>
      </c>
      <c r="F252" s="51" t="n">
        <f aca="false">+D252*(1+E252)</f>
        <v>8180.06</v>
      </c>
    </row>
    <row r="253" customFormat="false" ht="16.5" hidden="false" customHeight="false" outlineLevel="0" collapsed="false">
      <c r="A253" s="49" t="s">
        <v>587</v>
      </c>
      <c r="B253" s="50" t="s">
        <v>588</v>
      </c>
      <c r="C253" s="50" t="s">
        <v>14</v>
      </c>
      <c r="D253" s="51" t="n">
        <v>6874</v>
      </c>
      <c r="E253" s="52" t="n">
        <v>0.19</v>
      </c>
      <c r="F253" s="51" t="n">
        <f aca="false">+D253*(1+E253)</f>
        <v>8180.06</v>
      </c>
    </row>
    <row r="254" customFormat="false" ht="16.5" hidden="false" customHeight="false" outlineLevel="0" collapsed="false">
      <c r="A254" s="49" t="s">
        <v>589</v>
      </c>
      <c r="B254" s="50" t="s">
        <v>590</v>
      </c>
      <c r="C254" s="50" t="s">
        <v>14</v>
      </c>
      <c r="D254" s="51" t="n">
        <v>6899</v>
      </c>
      <c r="E254" s="52" t="n">
        <v>0.19</v>
      </c>
      <c r="F254" s="51" t="n">
        <f aca="false">+D254*(1+E254)</f>
        <v>8209.81</v>
      </c>
    </row>
    <row r="255" customFormat="false" ht="16.5" hidden="false" customHeight="false" outlineLevel="0" collapsed="false">
      <c r="A255" s="49" t="s">
        <v>591</v>
      </c>
      <c r="B255" s="50" t="s">
        <v>592</v>
      </c>
      <c r="C255" s="50" t="s">
        <v>14</v>
      </c>
      <c r="D255" s="51" t="n">
        <v>8211</v>
      </c>
      <c r="E255" s="52" t="n">
        <v>0.19</v>
      </c>
      <c r="F255" s="51" t="n">
        <f aca="false">+D255*(1+E255)</f>
        <v>9771.09</v>
      </c>
    </row>
    <row r="256" customFormat="false" ht="16.5" hidden="false" customHeight="false" outlineLevel="0" collapsed="false">
      <c r="A256" s="49" t="s">
        <v>593</v>
      </c>
      <c r="B256" s="50" t="s">
        <v>594</v>
      </c>
      <c r="C256" s="50" t="s">
        <v>91</v>
      </c>
      <c r="D256" s="51" t="n">
        <v>11028</v>
      </c>
      <c r="E256" s="52" t="n">
        <v>0.19</v>
      </c>
      <c r="F256" s="51" t="n">
        <f aca="false">+D256*(1+E256)</f>
        <v>13123.32</v>
      </c>
    </row>
    <row r="257" customFormat="false" ht="16.5" hidden="false" customHeight="false" outlineLevel="0" collapsed="false">
      <c r="A257" s="49" t="s">
        <v>595</v>
      </c>
      <c r="B257" s="50" t="s">
        <v>596</v>
      </c>
      <c r="C257" s="50" t="s">
        <v>91</v>
      </c>
      <c r="D257" s="51" t="n">
        <v>11028</v>
      </c>
      <c r="E257" s="52" t="n">
        <v>0.19</v>
      </c>
      <c r="F257" s="51" t="n">
        <f aca="false">+D257*(1+E257)</f>
        <v>13123.32</v>
      </c>
    </row>
    <row r="258" customFormat="false" ht="16.5" hidden="false" customHeight="false" outlineLevel="0" collapsed="false">
      <c r="A258" s="49" t="s">
        <v>597</v>
      </c>
      <c r="B258" s="50" t="s">
        <v>598</v>
      </c>
      <c r="C258" s="50" t="s">
        <v>91</v>
      </c>
      <c r="D258" s="51" t="n">
        <v>11028</v>
      </c>
      <c r="E258" s="52" t="n">
        <v>0.19</v>
      </c>
      <c r="F258" s="51" t="n">
        <f aca="false">+D258*(1+E258)</f>
        <v>13123.32</v>
      </c>
    </row>
    <row r="259" customFormat="false" ht="16.5" hidden="false" customHeight="false" outlineLevel="0" collapsed="false">
      <c r="A259" s="49" t="s">
        <v>599</v>
      </c>
      <c r="B259" s="50" t="s">
        <v>600</v>
      </c>
      <c r="C259" s="50" t="s">
        <v>91</v>
      </c>
      <c r="D259" s="51" t="n">
        <v>11129</v>
      </c>
      <c r="E259" s="52" t="n">
        <v>0.19</v>
      </c>
      <c r="F259" s="51" t="n">
        <f aca="false">+D259*(1+E259)</f>
        <v>13243.51</v>
      </c>
    </row>
    <row r="260" customFormat="false" ht="16.5" hidden="false" customHeight="false" outlineLevel="0" collapsed="false">
      <c r="A260" s="49" t="s">
        <v>601</v>
      </c>
      <c r="B260" s="50" t="s">
        <v>602</v>
      </c>
      <c r="C260" s="50" t="s">
        <v>525</v>
      </c>
      <c r="D260" s="51" t="n">
        <v>2222</v>
      </c>
      <c r="E260" s="52" t="n">
        <v>0.19</v>
      </c>
      <c r="F260" s="51" t="n">
        <f aca="false">+D260*(1+E260)</f>
        <v>2644.18</v>
      </c>
    </row>
    <row r="261" customFormat="false" ht="16.5" hidden="false" customHeight="false" outlineLevel="0" collapsed="false">
      <c r="A261" s="49" t="s">
        <v>603</v>
      </c>
      <c r="B261" s="50" t="s">
        <v>604</v>
      </c>
      <c r="C261" s="50" t="s">
        <v>525</v>
      </c>
      <c r="D261" s="51" t="n">
        <v>2221</v>
      </c>
      <c r="E261" s="52" t="n">
        <v>0.19</v>
      </c>
      <c r="F261" s="51" t="n">
        <f aca="false">+D261*(1+E261)</f>
        <v>2642.99</v>
      </c>
    </row>
    <row r="262" customFormat="false" ht="16.5" hidden="false" customHeight="false" outlineLevel="0" collapsed="false">
      <c r="A262" s="49" t="s">
        <v>605</v>
      </c>
      <c r="B262" s="50" t="s">
        <v>606</v>
      </c>
      <c r="C262" s="50" t="s">
        <v>525</v>
      </c>
      <c r="D262" s="51" t="n">
        <v>2221</v>
      </c>
      <c r="E262" s="52" t="n">
        <v>0.19</v>
      </c>
      <c r="F262" s="51" t="n">
        <f aca="false">+D262*(1+E262)</f>
        <v>2642.99</v>
      </c>
    </row>
    <row r="263" customFormat="false" ht="16.5" hidden="false" customHeight="false" outlineLevel="0" collapsed="false">
      <c r="A263" s="49" t="s">
        <v>607</v>
      </c>
      <c r="B263" s="50" t="s">
        <v>608</v>
      </c>
      <c r="C263" s="50" t="s">
        <v>525</v>
      </c>
      <c r="D263" s="51" t="n">
        <v>2221</v>
      </c>
      <c r="E263" s="52" t="n">
        <v>0.19</v>
      </c>
      <c r="F263" s="51" t="n">
        <f aca="false">+D263*(1+E263)</f>
        <v>2642.99</v>
      </c>
    </row>
    <row r="264" customFormat="false" ht="16.5" hidden="false" customHeight="false" outlineLevel="0" collapsed="false">
      <c r="A264" s="49" t="s">
        <v>609</v>
      </c>
      <c r="B264" s="50" t="s">
        <v>610</v>
      </c>
      <c r="C264" s="50" t="s">
        <v>525</v>
      </c>
      <c r="D264" s="51" t="n">
        <v>2247</v>
      </c>
      <c r="E264" s="52" t="n">
        <v>0.19</v>
      </c>
      <c r="F264" s="51" t="n">
        <f aca="false">+D264*(1+E264)</f>
        <v>2673.93</v>
      </c>
    </row>
    <row r="265" customFormat="false" ht="16.5" hidden="false" customHeight="false" outlineLevel="0" collapsed="false">
      <c r="A265" s="49" t="s">
        <v>611</v>
      </c>
      <c r="B265" s="50" t="s">
        <v>612</v>
      </c>
      <c r="C265" s="50" t="s">
        <v>525</v>
      </c>
      <c r="D265" s="51" t="n">
        <v>2247</v>
      </c>
      <c r="E265" s="52" t="n">
        <v>0.19</v>
      </c>
      <c r="F265" s="51" t="n">
        <f aca="false">+D265*(1+E265)</f>
        <v>2673.93</v>
      </c>
    </row>
    <row r="266" customFormat="false" ht="16.5" hidden="false" customHeight="false" outlineLevel="0" collapsed="false">
      <c r="A266" s="49" t="s">
        <v>613</v>
      </c>
      <c r="B266" s="50" t="s">
        <v>614</v>
      </c>
      <c r="C266" s="50" t="s">
        <v>525</v>
      </c>
      <c r="D266" s="51" t="n">
        <v>1695</v>
      </c>
      <c r="E266" s="52" t="n">
        <v>0.19</v>
      </c>
      <c r="F266" s="51" t="n">
        <f aca="false">+D266*(1+E266)</f>
        <v>2017.05</v>
      </c>
    </row>
    <row r="267" customFormat="false" ht="16.5" hidden="false" customHeight="false" outlineLevel="0" collapsed="false">
      <c r="A267" s="49" t="s">
        <v>615</v>
      </c>
      <c r="B267" s="50" t="s">
        <v>616</v>
      </c>
      <c r="C267" s="50" t="s">
        <v>525</v>
      </c>
      <c r="D267" s="51" t="n">
        <v>1695</v>
      </c>
      <c r="E267" s="52" t="n">
        <v>0.19</v>
      </c>
      <c r="F267" s="51" t="n">
        <f aca="false">+D267*(1+E267)</f>
        <v>2017.05</v>
      </c>
    </row>
    <row r="268" customFormat="false" ht="16.5" hidden="false" customHeight="false" outlineLevel="0" collapsed="false">
      <c r="A268" s="49" t="s">
        <v>617</v>
      </c>
      <c r="B268" s="50" t="s">
        <v>618</v>
      </c>
      <c r="C268" s="50" t="s">
        <v>525</v>
      </c>
      <c r="D268" s="51" t="n">
        <v>1695</v>
      </c>
      <c r="E268" s="52" t="n">
        <v>0.19</v>
      </c>
      <c r="F268" s="51" t="n">
        <f aca="false">+D268*(1+E268)</f>
        <v>2017.05</v>
      </c>
    </row>
    <row r="269" customFormat="false" ht="16.5" hidden="false" customHeight="false" outlineLevel="0" collapsed="false">
      <c r="A269" s="49" t="s">
        <v>619</v>
      </c>
      <c r="B269" s="50" t="s">
        <v>620</v>
      </c>
      <c r="C269" s="50" t="s">
        <v>525</v>
      </c>
      <c r="D269" s="51" t="n">
        <v>1712</v>
      </c>
      <c r="E269" s="52" t="n">
        <v>0.19</v>
      </c>
      <c r="F269" s="51" t="n">
        <f aca="false">+D269*(1+E269)</f>
        <v>2037.28</v>
      </c>
    </row>
    <row r="270" customFormat="false" ht="16.5" hidden="false" customHeight="false" outlineLevel="0" collapsed="false">
      <c r="A270" s="49" t="s">
        <v>621</v>
      </c>
      <c r="B270" s="50" t="s">
        <v>622</v>
      </c>
      <c r="C270" s="50" t="s">
        <v>525</v>
      </c>
      <c r="D270" s="51" t="n">
        <v>6488</v>
      </c>
      <c r="E270" s="52" t="n">
        <v>0.19</v>
      </c>
      <c r="F270" s="51" t="n">
        <f aca="false">+D270*(1+E270)</f>
        <v>7720.72</v>
      </c>
    </row>
    <row r="271" customFormat="false" ht="16.5" hidden="false" customHeight="false" outlineLevel="0" collapsed="false">
      <c r="A271" s="49" t="s">
        <v>623</v>
      </c>
      <c r="B271" s="50" t="s">
        <v>624</v>
      </c>
      <c r="C271" s="50" t="s">
        <v>525</v>
      </c>
      <c r="D271" s="51" t="n">
        <v>1181</v>
      </c>
      <c r="E271" s="52" t="n">
        <v>0.19</v>
      </c>
      <c r="F271" s="51" t="n">
        <f aca="false">+D271*(1+E271)</f>
        <v>1405.39</v>
      </c>
    </row>
    <row r="272" customFormat="false" ht="16.5" hidden="false" customHeight="false" outlineLevel="0" collapsed="false">
      <c r="A272" s="49" t="s">
        <v>625</v>
      </c>
      <c r="B272" s="50" t="s">
        <v>626</v>
      </c>
      <c r="C272" s="50" t="s">
        <v>525</v>
      </c>
      <c r="D272" s="51" t="n">
        <v>2221</v>
      </c>
      <c r="E272" s="52" t="n">
        <v>0.19</v>
      </c>
      <c r="F272" s="51" t="n">
        <f aca="false">+D272*(1+E272)</f>
        <v>2642.99</v>
      </c>
    </row>
    <row r="273" customFormat="false" ht="16.5" hidden="false" customHeight="false" outlineLevel="0" collapsed="false">
      <c r="A273" s="49" t="s">
        <v>627</v>
      </c>
      <c r="B273" s="50" t="s">
        <v>628</v>
      </c>
      <c r="C273" s="50" t="s">
        <v>91</v>
      </c>
      <c r="D273" s="51" t="n">
        <v>16647</v>
      </c>
      <c r="E273" s="52" t="n">
        <v>0.19</v>
      </c>
      <c r="F273" s="51" t="n">
        <f aca="false">+D273*(1+E273)</f>
        <v>19809.93</v>
      </c>
    </row>
    <row r="274" customFormat="false" ht="16.5" hidden="false" customHeight="false" outlineLevel="0" collapsed="false">
      <c r="A274" s="49" t="s">
        <v>629</v>
      </c>
      <c r="B274" s="50" t="s">
        <v>630</v>
      </c>
      <c r="C274" s="50" t="s">
        <v>91</v>
      </c>
      <c r="D274" s="51" t="n">
        <v>16647</v>
      </c>
      <c r="E274" s="52" t="n">
        <v>0.19</v>
      </c>
      <c r="F274" s="51" t="n">
        <f aca="false">+D274*(1+E274)</f>
        <v>19809.93</v>
      </c>
    </row>
    <row r="275" customFormat="false" ht="16.5" hidden="false" customHeight="false" outlineLevel="0" collapsed="false">
      <c r="A275" s="49" t="s">
        <v>631</v>
      </c>
      <c r="B275" s="50" t="s">
        <v>632</v>
      </c>
      <c r="C275" s="50" t="s">
        <v>91</v>
      </c>
      <c r="D275" s="51" t="n">
        <v>16647</v>
      </c>
      <c r="E275" s="52" t="n">
        <v>0.19</v>
      </c>
      <c r="F275" s="51" t="n">
        <f aca="false">+D275*(1+E275)</f>
        <v>19809.93</v>
      </c>
    </row>
    <row r="276" customFormat="false" ht="13.8" hidden="false" customHeight="false" outlineLevel="0" collapsed="false">
      <c r="A276" s="49" t="s">
        <v>633</v>
      </c>
      <c r="B276" s="50" t="s">
        <v>634</v>
      </c>
      <c r="C276" s="50" t="s">
        <v>635</v>
      </c>
      <c r="D276" s="51" t="n">
        <v>13917</v>
      </c>
      <c r="E276" s="52" t="n">
        <v>0.19</v>
      </c>
      <c r="F276" s="51" t="n">
        <f aca="false">+D276*(1+E276)</f>
        <v>16561.23</v>
      </c>
      <c r="XFC276" s="77"/>
      <c r="XFD276" s="77"/>
    </row>
    <row r="277" customFormat="false" ht="16.5" hidden="false" customHeight="false" outlineLevel="0" collapsed="false">
      <c r="A277" s="49" t="s">
        <v>636</v>
      </c>
      <c r="B277" s="50" t="s">
        <v>637</v>
      </c>
      <c r="C277" s="50" t="s">
        <v>525</v>
      </c>
      <c r="D277" s="51" t="n">
        <v>2555</v>
      </c>
      <c r="E277" s="52" t="n">
        <v>0.19</v>
      </c>
      <c r="F277" s="51" t="n">
        <f aca="false">+D277*(1+E277)</f>
        <v>3040.45</v>
      </c>
    </row>
    <row r="278" customFormat="false" ht="16.5" hidden="false" customHeight="true" outlineLevel="0" collapsed="false">
      <c r="A278" s="49" t="s">
        <v>638</v>
      </c>
      <c r="B278" s="50" t="s">
        <v>639</v>
      </c>
      <c r="C278" s="50" t="s">
        <v>525</v>
      </c>
      <c r="D278" s="51" t="n">
        <v>2126</v>
      </c>
      <c r="E278" s="52" t="n">
        <v>0.19</v>
      </c>
      <c r="F278" s="51" t="n">
        <f aca="false">+D278*(1+E278)</f>
        <v>2529.94</v>
      </c>
    </row>
    <row r="279" customFormat="false" ht="16.5" hidden="false" customHeight="false" outlineLevel="0" collapsed="false">
      <c r="A279" s="49" t="s">
        <v>640</v>
      </c>
      <c r="B279" s="50" t="s">
        <v>641</v>
      </c>
      <c r="C279" s="50" t="s">
        <v>14</v>
      </c>
      <c r="D279" s="51" t="n">
        <v>1415</v>
      </c>
      <c r="E279" s="52" t="n">
        <v>0.19</v>
      </c>
      <c r="F279" s="51" t="n">
        <f aca="false">+D279*(1+E279)</f>
        <v>1683.85</v>
      </c>
    </row>
    <row r="280" customFormat="false" ht="15.75" hidden="false" customHeight="false" outlineLevel="0" collapsed="false">
      <c r="D280" s="78"/>
      <c r="F280" s="78"/>
    </row>
    <row r="281" customFormat="false" ht="19.5" hidden="false" customHeight="false" outlineLevel="0" collapsed="false">
      <c r="A281" s="79" t="s">
        <v>642</v>
      </c>
      <c r="B281" s="79"/>
      <c r="C281" s="79"/>
      <c r="D281" s="79"/>
      <c r="E281" s="79"/>
    </row>
    <row r="282" customFormat="false" ht="31.5" hidden="false" customHeight="false" outlineLevel="0" collapsed="false">
      <c r="A282" s="44" t="s">
        <v>167</v>
      </c>
      <c r="B282" s="45" t="s">
        <v>168</v>
      </c>
      <c r="C282" s="45" t="s">
        <v>9</v>
      </c>
      <c r="D282" s="46" t="s">
        <v>10</v>
      </c>
      <c r="E282" s="47" t="s">
        <v>11</v>
      </c>
      <c r="F282" s="48" t="s">
        <v>169</v>
      </c>
    </row>
    <row r="283" customFormat="false" ht="16.5" hidden="false" customHeight="false" outlineLevel="0" collapsed="false">
      <c r="A283" s="49" t="s">
        <v>643</v>
      </c>
      <c r="B283" s="50" t="s">
        <v>644</v>
      </c>
      <c r="C283" s="50" t="s">
        <v>645</v>
      </c>
      <c r="D283" s="51" t="n">
        <v>849</v>
      </c>
      <c r="E283" s="52" t="n">
        <v>0.19</v>
      </c>
      <c r="F283" s="51" t="n">
        <f aca="false">+D283*(1+E283)</f>
        <v>1010.31</v>
      </c>
    </row>
    <row r="284" customFormat="false" ht="17.25" hidden="false" customHeight="true" outlineLevel="0" collapsed="false">
      <c r="A284" s="49" t="s">
        <v>646</v>
      </c>
      <c r="B284" s="50" t="s">
        <v>647</v>
      </c>
      <c r="C284" s="50" t="s">
        <v>14</v>
      </c>
      <c r="D284" s="51" t="n">
        <v>1084</v>
      </c>
      <c r="E284" s="52" t="n">
        <v>0.19</v>
      </c>
      <c r="F284" s="51" t="n">
        <f aca="false">+D284*(1+E284)</f>
        <v>1289.96</v>
      </c>
    </row>
    <row r="285" customFormat="false" ht="14.25" hidden="false" customHeight="true" outlineLevel="0" collapsed="false">
      <c r="A285" s="49" t="s">
        <v>648</v>
      </c>
      <c r="B285" s="50" t="s">
        <v>649</v>
      </c>
      <c r="C285" s="50" t="s">
        <v>14</v>
      </c>
      <c r="D285" s="51" t="n">
        <v>4563</v>
      </c>
      <c r="E285" s="52" t="n">
        <v>0.19</v>
      </c>
      <c r="F285" s="51" t="n">
        <f aca="false">+D285*(1+E285)</f>
        <v>5429.97</v>
      </c>
    </row>
    <row r="286" customFormat="false" ht="15.75" hidden="false" customHeight="true" outlineLevel="0" collapsed="false">
      <c r="A286" s="49" t="s">
        <v>650</v>
      </c>
      <c r="B286" s="50" t="s">
        <v>651</v>
      </c>
      <c r="C286" s="50" t="s">
        <v>14</v>
      </c>
      <c r="D286" s="51" t="n">
        <v>4563</v>
      </c>
      <c r="E286" s="52" t="n">
        <v>0.19</v>
      </c>
      <c r="F286" s="51" t="n">
        <f aca="false">+D286*(1+E286)</f>
        <v>5429.97</v>
      </c>
    </row>
    <row r="287" customFormat="false" ht="17.25" hidden="false" customHeight="true" outlineLevel="0" collapsed="false">
      <c r="A287" s="49" t="s">
        <v>652</v>
      </c>
      <c r="B287" s="50" t="s">
        <v>653</v>
      </c>
      <c r="C287" s="50" t="s">
        <v>14</v>
      </c>
      <c r="D287" s="51" t="n">
        <v>4563</v>
      </c>
      <c r="E287" s="52" t="n">
        <v>0.19</v>
      </c>
      <c r="F287" s="51" t="n">
        <f aca="false">+D287*(1+E287)</f>
        <v>5429.97</v>
      </c>
    </row>
    <row r="288" customFormat="false" ht="16.5" hidden="false" customHeight="false" outlineLevel="0" collapsed="false">
      <c r="A288" s="49" t="s">
        <v>654</v>
      </c>
      <c r="B288" s="50" t="s">
        <v>655</v>
      </c>
      <c r="C288" s="50" t="s">
        <v>525</v>
      </c>
      <c r="D288" s="51" t="n">
        <v>1017</v>
      </c>
      <c r="E288" s="52" t="n">
        <v>0.19</v>
      </c>
      <c r="F288" s="51" t="n">
        <f aca="false">+D288*(1+E288)</f>
        <v>1210.23</v>
      </c>
    </row>
    <row r="289" customFormat="false" ht="16.5" hidden="false" customHeight="false" outlineLevel="0" collapsed="false">
      <c r="A289" s="49" t="s">
        <v>656</v>
      </c>
      <c r="B289" s="50" t="s">
        <v>657</v>
      </c>
      <c r="C289" s="50" t="s">
        <v>525</v>
      </c>
      <c r="D289" s="51" t="n">
        <v>1017</v>
      </c>
      <c r="E289" s="52" t="n">
        <v>0.19</v>
      </c>
      <c r="F289" s="51" t="n">
        <f aca="false">+D289*(1+E289)</f>
        <v>1210.23</v>
      </c>
    </row>
    <row r="290" customFormat="false" ht="16.5" hidden="false" customHeight="false" outlineLevel="0" collapsed="false">
      <c r="A290" s="49" t="s">
        <v>658</v>
      </c>
      <c r="B290" s="50" t="s">
        <v>659</v>
      </c>
      <c r="C290" s="50" t="s">
        <v>525</v>
      </c>
      <c r="D290" s="51" t="n">
        <v>1017</v>
      </c>
      <c r="E290" s="52" t="n">
        <v>0.19</v>
      </c>
      <c r="F290" s="51" t="n">
        <f aca="false">+D290*(1+E290)</f>
        <v>1210.23</v>
      </c>
    </row>
    <row r="291" customFormat="false" ht="16.5" hidden="false" customHeight="false" outlineLevel="0" collapsed="false">
      <c r="A291" s="49" t="s">
        <v>660</v>
      </c>
      <c r="B291" s="50" t="s">
        <v>661</v>
      </c>
      <c r="C291" s="50" t="s">
        <v>525</v>
      </c>
      <c r="D291" s="51" t="n">
        <v>3992</v>
      </c>
      <c r="E291" s="52" t="n">
        <v>0.19</v>
      </c>
      <c r="F291" s="51" t="n">
        <f aca="false">+D291*(1+E291)</f>
        <v>4750.48</v>
      </c>
    </row>
    <row r="292" customFormat="false" ht="16.5" hidden="false" customHeight="false" outlineLevel="0" collapsed="false">
      <c r="A292" s="49" t="s">
        <v>662</v>
      </c>
      <c r="B292" s="50" t="s">
        <v>663</v>
      </c>
      <c r="C292" s="50" t="s">
        <v>14</v>
      </c>
      <c r="D292" s="51" t="n">
        <v>8101</v>
      </c>
      <c r="E292" s="52" t="n">
        <v>0.19</v>
      </c>
      <c r="F292" s="51" t="n">
        <f aca="false">+D292*(1+E292)</f>
        <v>9640.19</v>
      </c>
    </row>
    <row r="293" customFormat="false" ht="16.5" hidden="false" customHeight="false" outlineLevel="0" collapsed="false">
      <c r="A293" s="49" t="s">
        <v>664</v>
      </c>
      <c r="B293" s="50" t="s">
        <v>665</v>
      </c>
      <c r="C293" s="50" t="s">
        <v>14</v>
      </c>
      <c r="D293" s="51" t="n">
        <v>6294</v>
      </c>
      <c r="E293" s="52" t="n">
        <v>0.19</v>
      </c>
      <c r="F293" s="51" t="n">
        <f aca="false">+D293*(1+E293)</f>
        <v>7489.86</v>
      </c>
    </row>
    <row r="294" customFormat="false" ht="15.75" hidden="false" customHeight="false" outlineLevel="0" collapsed="false"/>
    <row r="295" customFormat="false" ht="19.5" hidden="false" customHeight="false" outlineLevel="0" collapsed="false">
      <c r="A295" s="80" t="s">
        <v>666</v>
      </c>
      <c r="B295" s="80"/>
      <c r="C295" s="80"/>
      <c r="D295" s="80"/>
      <c r="E295" s="80"/>
      <c r="F295" s="80"/>
    </row>
    <row r="296" customFormat="false" ht="31.5" hidden="false" customHeight="false" outlineLevel="0" collapsed="false">
      <c r="A296" s="44" t="s">
        <v>167</v>
      </c>
      <c r="B296" s="45" t="s">
        <v>168</v>
      </c>
      <c r="C296" s="45" t="s">
        <v>9</v>
      </c>
      <c r="D296" s="46" t="s">
        <v>10</v>
      </c>
      <c r="E296" s="47" t="s">
        <v>11</v>
      </c>
      <c r="F296" s="48" t="s">
        <v>169</v>
      </c>
    </row>
    <row r="297" customFormat="false" ht="16.5" hidden="false" customHeight="false" outlineLevel="0" collapsed="false">
      <c r="A297" s="49"/>
      <c r="B297" s="50" t="s">
        <v>667</v>
      </c>
      <c r="C297" s="50" t="s">
        <v>91</v>
      </c>
      <c r="D297" s="51" t="n">
        <v>29394</v>
      </c>
      <c r="E297" s="52" t="n">
        <v>0.19</v>
      </c>
      <c r="F297" s="51" t="n">
        <f aca="false">+D297*(1+E297)</f>
        <v>34978.86</v>
      </c>
    </row>
    <row r="298" customFormat="false" ht="16.5" hidden="false" customHeight="false" outlineLevel="0" collapsed="false">
      <c r="A298" s="49" t="s">
        <v>668</v>
      </c>
      <c r="B298" s="50" t="s">
        <v>669</v>
      </c>
      <c r="C298" s="50" t="s">
        <v>91</v>
      </c>
      <c r="D298" s="51" t="n">
        <v>10204</v>
      </c>
      <c r="E298" s="52" t="n">
        <v>0.19</v>
      </c>
      <c r="F298" s="51" t="n">
        <f aca="false">+D298*(1+E298)</f>
        <v>12142.76</v>
      </c>
    </row>
    <row r="299" customFormat="false" ht="16.5" hidden="false" customHeight="false" outlineLevel="0" collapsed="false">
      <c r="A299" s="49" t="s">
        <v>670</v>
      </c>
      <c r="B299" s="50" t="s">
        <v>671</v>
      </c>
      <c r="C299" s="50" t="s">
        <v>14</v>
      </c>
      <c r="D299" s="51" t="n">
        <v>1382</v>
      </c>
      <c r="E299" s="52" t="n">
        <v>0.19</v>
      </c>
      <c r="F299" s="51" t="n">
        <f aca="false">+D299*(1+E299)</f>
        <v>1644.58</v>
      </c>
    </row>
    <row r="300" customFormat="false" ht="16.5" hidden="false" customHeight="false" outlineLevel="0" collapsed="false">
      <c r="A300" s="49" t="s">
        <v>672</v>
      </c>
      <c r="B300" s="50" t="s">
        <v>673</v>
      </c>
      <c r="C300" s="50" t="s">
        <v>14</v>
      </c>
      <c r="D300" s="51" t="n">
        <v>6657</v>
      </c>
      <c r="E300" s="52" t="n">
        <v>0.19</v>
      </c>
      <c r="F300" s="51" t="n">
        <f aca="false">+D300*(1+E300)</f>
        <v>7921.83</v>
      </c>
    </row>
    <row r="301" customFormat="false" ht="16.5" hidden="false" customHeight="false" outlineLevel="0" collapsed="false">
      <c r="A301" s="49" t="s">
        <v>674</v>
      </c>
      <c r="B301" s="50" t="s">
        <v>675</v>
      </c>
      <c r="C301" s="50" t="s">
        <v>525</v>
      </c>
      <c r="D301" s="51" t="n">
        <v>1681</v>
      </c>
      <c r="E301" s="52" t="n">
        <v>0.19</v>
      </c>
      <c r="F301" s="51" t="n">
        <f aca="false">+D301*(1+E301)</f>
        <v>2000.39</v>
      </c>
    </row>
    <row r="302" customFormat="false" ht="16.5" hidden="false" customHeight="false" outlineLevel="0" collapsed="false">
      <c r="A302" s="49" t="s">
        <v>676</v>
      </c>
      <c r="B302" s="50" t="s">
        <v>677</v>
      </c>
      <c r="C302" s="50" t="s">
        <v>525</v>
      </c>
      <c r="D302" s="51" t="n">
        <v>2315</v>
      </c>
      <c r="E302" s="52" t="n">
        <v>0.19</v>
      </c>
      <c r="F302" s="51" t="n">
        <f aca="false">+D302*(1+E302)</f>
        <v>2754.85</v>
      </c>
    </row>
    <row r="303" customFormat="false" ht="15.75" hidden="false" customHeight="false" outlineLevel="0" collapsed="false"/>
    <row r="305" customFormat="false" ht="19.5" hidden="false" customHeight="false" outlineLevel="0" collapsed="false">
      <c r="A305" s="43" t="s">
        <v>678</v>
      </c>
      <c r="B305" s="43"/>
      <c r="C305" s="43"/>
      <c r="D305" s="43"/>
      <c r="E305" s="43"/>
      <c r="F305" s="43"/>
    </row>
    <row r="306" customFormat="false" ht="31.5" hidden="false" customHeight="false" outlineLevel="0" collapsed="false">
      <c r="A306" s="44" t="s">
        <v>167</v>
      </c>
      <c r="B306" s="45" t="s">
        <v>168</v>
      </c>
      <c r="C306" s="45" t="s">
        <v>9</v>
      </c>
      <c r="D306" s="46" t="s">
        <v>10</v>
      </c>
      <c r="E306" s="47" t="s">
        <v>11</v>
      </c>
      <c r="F306" s="48" t="s">
        <v>169</v>
      </c>
    </row>
    <row r="307" customFormat="false" ht="16.5" hidden="false" customHeight="false" outlineLevel="0" collapsed="false">
      <c r="A307" s="49" t="s">
        <v>679</v>
      </c>
      <c r="B307" s="50" t="s">
        <v>680</v>
      </c>
      <c r="C307" s="50" t="s">
        <v>9</v>
      </c>
      <c r="D307" s="51" t="n">
        <v>15521</v>
      </c>
      <c r="E307" s="52" t="n">
        <v>0.19</v>
      </c>
      <c r="F307" s="51" t="n">
        <f aca="false">+D307*(1+E307)</f>
        <v>18469.99</v>
      </c>
      <c r="G307" s="34" t="e">
        <f aca="false">+VLOOKUP(B307,[1]Hoja1!$C$8:$D$715,2,0)</f>
        <v>#N/A</v>
      </c>
      <c r="H307" s="34" t="e">
        <f aca="false">+VLOOKUP(A307,[1]Hoja1!$B$7:$D$715,3,0)</f>
        <v>#N/A</v>
      </c>
      <c r="I307" s="34" t="e">
        <f aca="false">#N/A</f>
        <v>#N/A</v>
      </c>
    </row>
    <row r="308" customFormat="false" ht="16.5" hidden="false" customHeight="false" outlineLevel="0" collapsed="false">
      <c r="A308" s="49" t="s">
        <v>681</v>
      </c>
      <c r="B308" s="50" t="s">
        <v>682</v>
      </c>
      <c r="C308" s="50" t="s">
        <v>9</v>
      </c>
      <c r="D308" s="51" t="n">
        <v>15104</v>
      </c>
      <c r="E308" s="52" t="n">
        <v>0.19</v>
      </c>
      <c r="F308" s="51" t="n">
        <f aca="false">+D308*(1+E308)</f>
        <v>17973.76</v>
      </c>
      <c r="G308" s="34" t="e">
        <f aca="false">+VLOOKUP(B308,[1]Hoja1!$C$8:$D$715,2,0)</f>
        <v>#N/A</v>
      </c>
      <c r="H308" s="34" t="e">
        <f aca="false">+VLOOKUP(A308,[1]Hoja1!$B$7:$D$715,3,0)</f>
        <v>#N/A</v>
      </c>
      <c r="I308" s="34" t="e">
        <f aca="false">#N/A</f>
        <v>#N/A</v>
      </c>
    </row>
    <row r="309" customFormat="false" ht="16.5" hidden="false" customHeight="false" outlineLevel="0" collapsed="false">
      <c r="A309" s="49" t="s">
        <v>683</v>
      </c>
      <c r="B309" s="50" t="s">
        <v>684</v>
      </c>
      <c r="C309" s="50" t="s">
        <v>9</v>
      </c>
      <c r="D309" s="51" t="n">
        <v>4476</v>
      </c>
      <c r="E309" s="52" t="n">
        <v>0.19</v>
      </c>
      <c r="F309" s="51" t="n">
        <f aca="false">+D309*(1+E309)</f>
        <v>5326.44</v>
      </c>
      <c r="G309" s="34" t="n">
        <v>4610</v>
      </c>
      <c r="H309" s="34" t="e">
        <f aca="false">+VLOOKUP(A309,[1]Hoja1!$B$7:$D$715,3,0)</f>
        <v>#N/A</v>
      </c>
      <c r="I309" s="34" t="n">
        <v>4610</v>
      </c>
    </row>
    <row r="310" customFormat="false" ht="16.5" hidden="false" customHeight="false" outlineLevel="0" collapsed="false">
      <c r="A310" s="49" t="s">
        <v>685</v>
      </c>
      <c r="B310" s="50" t="s">
        <v>686</v>
      </c>
      <c r="C310" s="50" t="s">
        <v>9</v>
      </c>
      <c r="D310" s="51" t="n">
        <v>4540.8</v>
      </c>
      <c r="E310" s="52" t="n">
        <v>0.05</v>
      </c>
      <c r="F310" s="51" t="n">
        <f aca="false">+D310*(1+E310)</f>
        <v>4767.84</v>
      </c>
      <c r="G310" s="34" t="n">
        <v>4679</v>
      </c>
      <c r="H310" s="34" t="e">
        <f aca="false">+VLOOKUP(A310,[1]Hoja1!$B$7:$D$715,3,0)</f>
        <v>#N/A</v>
      </c>
      <c r="I310" s="34" t="n">
        <v>4679</v>
      </c>
    </row>
    <row r="311" customFormat="false" ht="16.5" hidden="false" customHeight="false" outlineLevel="0" collapsed="false">
      <c r="A311" s="49" t="s">
        <v>687</v>
      </c>
      <c r="B311" s="50" t="s">
        <v>688</v>
      </c>
      <c r="C311" s="50" t="s">
        <v>9</v>
      </c>
      <c r="D311" s="51" t="n">
        <v>14478</v>
      </c>
      <c r="E311" s="52" t="n">
        <v>0.19</v>
      </c>
      <c r="F311" s="51" t="n">
        <f aca="false">+D311*(1+E311)</f>
        <v>17228.82</v>
      </c>
      <c r="G311" s="34" t="e">
        <f aca="false">+VLOOKUP(B311,[1]Hoja1!$C$8:$D$715,2,0)</f>
        <v>#N/A</v>
      </c>
      <c r="H311" s="34" t="e">
        <f aca="false">+VLOOKUP(A311,[1]Hoja1!$B$7:$D$715,3,0)</f>
        <v>#N/A</v>
      </c>
      <c r="I311" s="34" t="e">
        <f aca="false">#N/A</f>
        <v>#N/A</v>
      </c>
    </row>
    <row r="312" customFormat="false" ht="16.5" hidden="false" customHeight="false" outlineLevel="0" collapsed="false">
      <c r="A312" s="49" t="s">
        <v>689</v>
      </c>
      <c r="B312" s="50" t="s">
        <v>690</v>
      </c>
      <c r="C312" s="50" t="s">
        <v>9</v>
      </c>
      <c r="D312" s="51" t="n">
        <v>69712.8</v>
      </c>
      <c r="E312" s="52" t="n">
        <v>0.19</v>
      </c>
      <c r="F312" s="51" t="n">
        <f aca="false">+D312*(1+E312)</f>
        <v>82958.232</v>
      </c>
      <c r="G312" s="34" t="e">
        <f aca="false">+VLOOKUP(B312,[1]Hoja1!$C$8:$D$715,2,0)</f>
        <v>#N/A</v>
      </c>
      <c r="H312" s="34" t="e">
        <f aca="false">+VLOOKUP(A312,[1]Hoja1!$B$7:$D$715,3,0)</f>
        <v>#N/A</v>
      </c>
      <c r="I312" s="34" t="e">
        <f aca="false">#N/A</f>
        <v>#N/A</v>
      </c>
    </row>
    <row r="313" customFormat="false" ht="16.5" hidden="false" customHeight="false" outlineLevel="0" collapsed="false">
      <c r="A313" s="49" t="s">
        <v>691</v>
      </c>
      <c r="B313" s="50" t="s">
        <v>692</v>
      </c>
      <c r="C313" s="50" t="s">
        <v>9</v>
      </c>
      <c r="D313" s="51" t="n">
        <v>43010.4</v>
      </c>
      <c r="E313" s="52" t="n">
        <v>0.19</v>
      </c>
      <c r="F313" s="51" t="n">
        <f aca="false">+D313*(1+E313)</f>
        <v>51182.376</v>
      </c>
      <c r="G313" s="34" t="e">
        <f aca="false">+VLOOKUP(B313,[1]Hoja1!$C$8:$D$715,2,0)</f>
        <v>#N/A</v>
      </c>
      <c r="H313" s="34" t="e">
        <f aca="false">+VLOOKUP(A313,[1]Hoja1!$B$7:$D$715,3,0)</f>
        <v>#N/A</v>
      </c>
      <c r="I313" s="34" t="e">
        <f aca="false">#N/A</f>
        <v>#N/A</v>
      </c>
    </row>
    <row r="314" customFormat="false" ht="16.5" hidden="false" customHeight="false" outlineLevel="0" collapsed="false">
      <c r="A314" s="49" t="s">
        <v>693</v>
      </c>
      <c r="B314" s="50" t="s">
        <v>694</v>
      </c>
      <c r="C314" s="50" t="s">
        <v>9</v>
      </c>
      <c r="D314" s="51" t="n">
        <v>18561.6</v>
      </c>
      <c r="E314" s="52" t="n">
        <v>0.19</v>
      </c>
      <c r="F314" s="51" t="n">
        <f aca="false">+D314*(1+E314)</f>
        <v>22088.304</v>
      </c>
      <c r="G314" s="34" t="e">
        <f aca="false">+VLOOKUP(B314,[1]Hoja1!$C$8:$D$715,2,0)</f>
        <v>#N/A</v>
      </c>
      <c r="H314" s="34" t="e">
        <f aca="false">+VLOOKUP(A314,[1]Hoja1!$B$7:$D$715,3,0)</f>
        <v>#N/A</v>
      </c>
      <c r="I314" s="34" t="e">
        <f aca="false">#N/A</f>
        <v>#N/A</v>
      </c>
    </row>
    <row r="315" customFormat="false" ht="16.5" hidden="false" customHeight="false" outlineLevel="0" collapsed="false">
      <c r="A315" s="49" t="s">
        <v>695</v>
      </c>
      <c r="B315" s="50" t="s">
        <v>696</v>
      </c>
      <c r="C315" s="50" t="s">
        <v>9</v>
      </c>
      <c r="D315" s="51" t="n">
        <v>10075.2</v>
      </c>
      <c r="E315" s="52" t="n">
        <v>0.19</v>
      </c>
      <c r="F315" s="51" t="n">
        <f aca="false">+D315*(1+E315)</f>
        <v>11989.488</v>
      </c>
      <c r="G315" s="34" t="e">
        <f aca="false">+VLOOKUP(B315,[1]Hoja1!$C$8:$D$715,2,0)</f>
        <v>#N/A</v>
      </c>
      <c r="H315" s="34" t="e">
        <f aca="false">+VLOOKUP(A315,[1]Hoja1!$B$7:$D$715,3,0)</f>
        <v>#N/A</v>
      </c>
      <c r="I315" s="34" t="e">
        <f aca="false">#N/A</f>
        <v>#N/A</v>
      </c>
    </row>
    <row r="316" customFormat="false" ht="16.5" hidden="false" customHeight="false" outlineLevel="0" collapsed="false">
      <c r="A316" s="49" t="s">
        <v>697</v>
      </c>
      <c r="B316" s="50" t="s">
        <v>698</v>
      </c>
      <c r="C316" s="50" t="s">
        <v>9</v>
      </c>
      <c r="D316" s="51" t="n">
        <v>61708.8</v>
      </c>
      <c r="E316" s="52" t="n">
        <v>0.19</v>
      </c>
      <c r="F316" s="51" t="n">
        <f aca="false">+D316*(1+E316)</f>
        <v>73433.472</v>
      </c>
      <c r="G316" s="34" t="e">
        <f aca="false">+VLOOKUP(B316,[1]Hoja1!$C$8:$D$715,2,0)</f>
        <v>#N/A</v>
      </c>
      <c r="H316" s="34" t="e">
        <f aca="false">+VLOOKUP(A316,[1]Hoja1!$B$7:$D$715,3,0)</f>
        <v>#N/A</v>
      </c>
      <c r="I316" s="34" t="e">
        <f aca="false">#N/A</f>
        <v>#N/A</v>
      </c>
    </row>
    <row r="317" customFormat="false" ht="16.5" hidden="false" customHeight="false" outlineLevel="0" collapsed="false">
      <c r="A317" s="49" t="s">
        <v>699</v>
      </c>
      <c r="B317" s="50" t="s">
        <v>700</v>
      </c>
      <c r="C317" s="50" t="s">
        <v>9</v>
      </c>
      <c r="D317" s="51" t="n">
        <v>3306</v>
      </c>
      <c r="E317" s="52" t="n">
        <v>0.19</v>
      </c>
      <c r="F317" s="51" t="n">
        <f aca="false">+D317*(1+E317)</f>
        <v>3934.14</v>
      </c>
      <c r="G317" s="34" t="n">
        <f aca="false">+VLOOKUP(B317,[1]Hoja1!$C$8:$D$715,2,0)</f>
        <v>3306</v>
      </c>
      <c r="H317" s="34" t="e">
        <f aca="false">+VLOOKUP(A317,[1]Hoja1!$B$7:$D$715,3,0)</f>
        <v>#N/A</v>
      </c>
      <c r="I317" s="34" t="n">
        <v>3306</v>
      </c>
    </row>
    <row r="318" customFormat="false" ht="16.5" hidden="false" customHeight="false" outlineLevel="0" collapsed="false">
      <c r="A318" s="49" t="s">
        <v>701</v>
      </c>
      <c r="B318" s="50" t="s">
        <v>702</v>
      </c>
      <c r="C318" s="50" t="s">
        <v>9</v>
      </c>
      <c r="D318" s="51" t="n">
        <v>2962</v>
      </c>
      <c r="E318" s="52" t="n">
        <v>0.19</v>
      </c>
      <c r="F318" s="51" t="n">
        <f aca="false">+D318*(1+E318)</f>
        <v>3524.78</v>
      </c>
      <c r="G318" s="34" t="n">
        <f aca="false">+VLOOKUP(B318,[1]Hoja1!$C$8:$D$715,2,0)</f>
        <v>2962</v>
      </c>
      <c r="H318" s="34" t="e">
        <f aca="false">+VLOOKUP(A318,[1]Hoja1!$B$7:$D$715,3,0)</f>
        <v>#N/A</v>
      </c>
      <c r="I318" s="34" t="n">
        <v>2962</v>
      </c>
    </row>
    <row r="319" customFormat="false" ht="16.5" hidden="false" customHeight="false" outlineLevel="0" collapsed="false">
      <c r="A319" s="49" t="s">
        <v>703</v>
      </c>
      <c r="B319" s="50" t="s">
        <v>704</v>
      </c>
      <c r="C319" s="50" t="s">
        <v>9</v>
      </c>
      <c r="D319" s="51" t="n">
        <v>14616</v>
      </c>
      <c r="E319" s="52" t="n">
        <v>0.19</v>
      </c>
      <c r="F319" s="51" t="n">
        <f aca="false">+D319*(1+E319)</f>
        <v>17393.04</v>
      </c>
      <c r="G319" s="34" t="n">
        <f aca="false">+VLOOKUP(B319,[1]Hoja1!$C$8:$D$715,2,0)</f>
        <v>14616</v>
      </c>
      <c r="H319" s="34" t="e">
        <f aca="false">+VLOOKUP(A319,[1]Hoja1!$B$7:$D$715,3,0)</f>
        <v>#N/A</v>
      </c>
      <c r="I319" s="34" t="n">
        <v>14616</v>
      </c>
    </row>
    <row r="320" customFormat="false" ht="16.5" hidden="false" customHeight="false" outlineLevel="0" collapsed="false">
      <c r="A320" s="49" t="s">
        <v>705</v>
      </c>
      <c r="B320" s="50" t="s">
        <v>706</v>
      </c>
      <c r="C320" s="50" t="s">
        <v>9</v>
      </c>
      <c r="D320" s="51" t="n">
        <v>7355</v>
      </c>
      <c r="E320" s="52" t="n">
        <v>0.19</v>
      </c>
      <c r="F320" s="51" t="n">
        <f aca="false">+D320*(1+E320)</f>
        <v>8752.45</v>
      </c>
      <c r="G320" s="34" t="n">
        <f aca="false">+VLOOKUP(B320,[1]Hoja1!$C$8:$D$715,2,0)</f>
        <v>7355</v>
      </c>
      <c r="H320" s="34" t="e">
        <f aca="false">+VLOOKUP(A320,[1]Hoja1!$B$7:$D$715,3,0)</f>
        <v>#N/A</v>
      </c>
      <c r="I320" s="34" t="n">
        <v>7355</v>
      </c>
    </row>
    <row r="321" customFormat="false" ht="16.5" hidden="false" customHeight="false" outlineLevel="0" collapsed="false">
      <c r="A321" s="49" t="s">
        <v>707</v>
      </c>
      <c r="B321" s="50" t="s">
        <v>708</v>
      </c>
      <c r="C321" s="50" t="s">
        <v>9</v>
      </c>
      <c r="D321" s="51" t="n">
        <v>6967</v>
      </c>
      <c r="E321" s="52" t="n">
        <v>0.19</v>
      </c>
      <c r="F321" s="51" t="n">
        <f aca="false">+D321*(1+E321)</f>
        <v>8290.73</v>
      </c>
      <c r="G321" s="34" t="n">
        <f aca="false">+VLOOKUP(B321,[1]Hoja1!$C$8:$D$715,2,0)</f>
        <v>6967</v>
      </c>
      <c r="H321" s="34" t="e">
        <f aca="false">+VLOOKUP(A321,[1]Hoja1!$B$7:$D$715,3,0)</f>
        <v>#N/A</v>
      </c>
      <c r="I321" s="34" t="n">
        <v>6967</v>
      </c>
    </row>
    <row r="322" customFormat="false" ht="16.5" hidden="false" customHeight="false" outlineLevel="0" collapsed="false">
      <c r="A322" s="49" t="s">
        <v>709</v>
      </c>
      <c r="B322" s="50" t="s">
        <v>710</v>
      </c>
      <c r="C322" s="50" t="s">
        <v>9</v>
      </c>
      <c r="D322" s="51" t="n">
        <v>3367</v>
      </c>
      <c r="E322" s="52" t="n">
        <v>0.19</v>
      </c>
      <c r="F322" s="51" t="n">
        <f aca="false">+D322*(1+E322)</f>
        <v>4006.73</v>
      </c>
      <c r="G322" s="34" t="n">
        <f aca="false">+VLOOKUP(B322,[1]Hoja1!$C$8:$D$715,2,0)</f>
        <v>3367</v>
      </c>
      <c r="H322" s="34" t="e">
        <f aca="false">+VLOOKUP(A322,[1]Hoja1!$B$7:$D$715,3,0)</f>
        <v>#N/A</v>
      </c>
      <c r="I322" s="34" t="n">
        <v>3367</v>
      </c>
    </row>
    <row r="323" customFormat="false" ht="16.5" hidden="false" customHeight="false" outlineLevel="0" collapsed="false">
      <c r="A323" s="49" t="s">
        <v>711</v>
      </c>
      <c r="B323" s="50" t="s">
        <v>712</v>
      </c>
      <c r="C323" s="50" t="s">
        <v>9</v>
      </c>
      <c r="D323" s="51" t="n">
        <v>11846</v>
      </c>
      <c r="E323" s="52" t="n">
        <v>0.19</v>
      </c>
      <c r="F323" s="51" t="n">
        <f aca="false">+D323*(1+E323)</f>
        <v>14096.74</v>
      </c>
      <c r="G323" s="34" t="e">
        <f aca="false">+VLOOKUP(B323,[1]Hoja1!$C$8:$D$715,2,0)</f>
        <v>#N/A</v>
      </c>
      <c r="H323" s="34" t="e">
        <f aca="false">+VLOOKUP(A323,[1]Hoja1!$B$7:$D$715,3,0)</f>
        <v>#N/A</v>
      </c>
      <c r="I323" s="34" t="e">
        <f aca="false">#N/A</f>
        <v>#N/A</v>
      </c>
    </row>
    <row r="324" customFormat="false" ht="16.5" hidden="false" customHeight="false" outlineLevel="0" collapsed="false">
      <c r="A324" s="49" t="s">
        <v>713</v>
      </c>
      <c r="B324" s="50" t="s">
        <v>714</v>
      </c>
      <c r="C324" s="50" t="s">
        <v>9</v>
      </c>
      <c r="D324" s="51" t="n">
        <v>5232</v>
      </c>
      <c r="E324" s="52" t="n">
        <v>0.19</v>
      </c>
      <c r="F324" s="51" t="n">
        <f aca="false">+D324*(1+E324)</f>
        <v>6226.08</v>
      </c>
      <c r="G324" s="34" t="n">
        <f aca="false">+VLOOKUP(B324,[1]Hoja1!$C$8:$D$715,2,0)</f>
        <v>5232</v>
      </c>
      <c r="H324" s="34" t="e">
        <f aca="false">+VLOOKUP(A324,[1]Hoja1!$B$7:$D$715,3,0)</f>
        <v>#N/A</v>
      </c>
      <c r="I324" s="34" t="n">
        <v>5232</v>
      </c>
    </row>
    <row r="325" customFormat="false" ht="16.5" hidden="false" customHeight="false" outlineLevel="0" collapsed="false">
      <c r="A325" s="49" t="s">
        <v>715</v>
      </c>
      <c r="B325" s="50" t="s">
        <v>716</v>
      </c>
      <c r="C325" s="50" t="s">
        <v>9</v>
      </c>
      <c r="D325" s="51" t="n">
        <v>7855.2</v>
      </c>
      <c r="E325" s="52" t="n">
        <v>0.19</v>
      </c>
      <c r="F325" s="51" t="n">
        <f aca="false">+D325*(1+E325)</f>
        <v>9347.688</v>
      </c>
      <c r="G325" s="34" t="e">
        <f aca="false">+VLOOKUP(B325,[1]Hoja1!$C$8:$D$715,2,0)</f>
        <v>#N/A</v>
      </c>
      <c r="H325" s="34" t="e">
        <f aca="false">+VLOOKUP(A325,[1]Hoja1!$B$7:$D$715,3,0)</f>
        <v>#N/A</v>
      </c>
      <c r="I325" s="34" t="e">
        <f aca="false">#N/A</f>
        <v>#N/A</v>
      </c>
    </row>
    <row r="326" customFormat="false" ht="16.5" hidden="false" customHeight="false" outlineLevel="0" collapsed="false">
      <c r="A326" s="49" t="s">
        <v>717</v>
      </c>
      <c r="B326" s="50" t="s">
        <v>718</v>
      </c>
      <c r="C326" s="50" t="s">
        <v>9</v>
      </c>
      <c r="D326" s="51" t="n">
        <v>5465</v>
      </c>
      <c r="E326" s="52" t="n">
        <v>0.19</v>
      </c>
      <c r="F326" s="51" t="n">
        <f aca="false">+D326*(1+E326)</f>
        <v>6503.35</v>
      </c>
      <c r="G326" s="34" t="n">
        <f aca="false">+VLOOKUP(B326,[1]Hoja1!$C$8:$D$715,2,0)</f>
        <v>5465</v>
      </c>
      <c r="H326" s="34" t="e">
        <f aca="false">+VLOOKUP(A326,[1]Hoja1!$B$7:$D$715,3,0)</f>
        <v>#N/A</v>
      </c>
      <c r="I326" s="34" t="n">
        <v>5465</v>
      </c>
    </row>
    <row r="327" customFormat="false" ht="16.5" hidden="false" customHeight="false" outlineLevel="0" collapsed="false">
      <c r="A327" s="49" t="s">
        <v>719</v>
      </c>
      <c r="B327" s="50" t="s">
        <v>720</v>
      </c>
      <c r="C327" s="50" t="s">
        <v>9</v>
      </c>
      <c r="D327" s="51" t="n">
        <v>8737</v>
      </c>
      <c r="E327" s="52" t="n">
        <v>0.19</v>
      </c>
      <c r="F327" s="51" t="n">
        <f aca="false">+D327*(1+E327)</f>
        <v>10397.03</v>
      </c>
      <c r="G327" s="34" t="n">
        <f aca="false">+VLOOKUP(B327,[1]Hoja1!$C$8:$D$715,2,0)</f>
        <v>8737</v>
      </c>
      <c r="H327" s="34" t="e">
        <f aca="false">+VLOOKUP(A327,[1]Hoja1!$B$7:$D$715,3,0)</f>
        <v>#N/A</v>
      </c>
      <c r="I327" s="34" t="n">
        <v>8737</v>
      </c>
    </row>
    <row r="328" customFormat="false" ht="16.5" hidden="false" customHeight="false" outlineLevel="0" collapsed="false">
      <c r="A328" s="49" t="s">
        <v>721</v>
      </c>
      <c r="B328" s="50" t="s">
        <v>722</v>
      </c>
      <c r="C328" s="50" t="s">
        <v>9</v>
      </c>
      <c r="D328" s="51" t="n">
        <v>4679</v>
      </c>
      <c r="E328" s="52" t="n">
        <v>0.19</v>
      </c>
      <c r="F328" s="51" t="n">
        <f aca="false">+D328*(1+E328)</f>
        <v>5568.01</v>
      </c>
      <c r="G328" s="34" t="n">
        <f aca="false">+VLOOKUP(B328,[1]Hoja1!$C$8:$D$715,2,0)</f>
        <v>4679</v>
      </c>
      <c r="H328" s="34" t="e">
        <f aca="false">+VLOOKUP(A328,[1]Hoja1!$B$7:$D$715,3,0)</f>
        <v>#N/A</v>
      </c>
      <c r="I328" s="34" t="n">
        <v>4679</v>
      </c>
    </row>
    <row r="329" customFormat="false" ht="16.5" hidden="false" customHeight="false" outlineLevel="0" collapsed="false">
      <c r="A329" s="49" t="s">
        <v>723</v>
      </c>
      <c r="B329" s="50" t="s">
        <v>724</v>
      </c>
      <c r="C329" s="50" t="s">
        <v>9</v>
      </c>
      <c r="D329" s="51" t="n">
        <v>2167.2</v>
      </c>
      <c r="E329" s="52" t="n">
        <v>0.19</v>
      </c>
      <c r="F329" s="51" t="n">
        <f aca="false">+D329*(1+E329)</f>
        <v>2578.968</v>
      </c>
      <c r="G329" s="34" t="e">
        <f aca="false">+VLOOKUP(B329,[1]Hoja1!$C$8:$D$715,2,0)</f>
        <v>#N/A</v>
      </c>
      <c r="H329" s="34" t="e">
        <f aca="false">+VLOOKUP(A329,[1]Hoja1!$B$7:$D$715,3,0)</f>
        <v>#N/A</v>
      </c>
      <c r="I329" s="34" t="e">
        <f aca="false">#N/A</f>
        <v>#N/A</v>
      </c>
    </row>
    <row r="330" customFormat="false" ht="16.5" hidden="false" customHeight="false" outlineLevel="0" collapsed="false">
      <c r="A330" s="49" t="s">
        <v>725</v>
      </c>
      <c r="B330" s="50" t="s">
        <v>726</v>
      </c>
      <c r="C330" s="50" t="s">
        <v>9</v>
      </c>
      <c r="D330" s="51" t="n">
        <v>6327.6</v>
      </c>
      <c r="E330" s="52" t="n">
        <v>0.19</v>
      </c>
      <c r="F330" s="51" t="n">
        <f aca="false">+D330*(1+E330)</f>
        <v>7529.844</v>
      </c>
      <c r="G330" s="34" t="e">
        <f aca="false">+VLOOKUP(B330,[1]Hoja1!$C$8:$D$715,2,0)</f>
        <v>#N/A</v>
      </c>
      <c r="H330" s="34" t="e">
        <f aca="false">+VLOOKUP(A330,[1]Hoja1!$B$7:$D$715,3,0)</f>
        <v>#N/A</v>
      </c>
      <c r="I330" s="34" t="e">
        <f aca="false">#N/A</f>
        <v>#N/A</v>
      </c>
    </row>
    <row r="331" customFormat="false" ht="16.5" hidden="false" customHeight="false" outlineLevel="0" collapsed="false">
      <c r="A331" s="49" t="s">
        <v>727</v>
      </c>
      <c r="B331" s="50" t="s">
        <v>728</v>
      </c>
      <c r="C331" s="50" t="s">
        <v>9</v>
      </c>
      <c r="D331" s="51" t="n">
        <v>11516.4</v>
      </c>
      <c r="E331" s="52" t="n">
        <v>0.19</v>
      </c>
      <c r="F331" s="51" t="n">
        <f aca="false">+D331*(1+E331)</f>
        <v>13704.516</v>
      </c>
      <c r="G331" s="34" t="e">
        <f aca="false">+VLOOKUP(B331,[1]Hoja1!$C$8:$D$715,2,0)</f>
        <v>#N/A</v>
      </c>
      <c r="H331" s="34" t="e">
        <f aca="false">+VLOOKUP(A331,[1]Hoja1!$B$7:$D$715,3,0)</f>
        <v>#N/A</v>
      </c>
      <c r="I331" s="34" t="e">
        <f aca="false">#N/A</f>
        <v>#N/A</v>
      </c>
    </row>
    <row r="332" customFormat="false" ht="16.5" hidden="false" customHeight="false" outlineLevel="0" collapsed="false">
      <c r="A332" s="49" t="s">
        <v>729</v>
      </c>
      <c r="B332" s="50" t="s">
        <v>730</v>
      </c>
      <c r="C332" s="50" t="s">
        <v>9</v>
      </c>
      <c r="D332" s="51" t="n">
        <v>16714</v>
      </c>
      <c r="E332" s="52" t="n">
        <v>0.19</v>
      </c>
      <c r="F332" s="51" t="n">
        <f aca="false">+D332*(1+E332)</f>
        <v>19889.66</v>
      </c>
      <c r="G332" s="34" t="n">
        <f aca="false">+VLOOKUP(B332,[1]Hoja1!$C$8:$D$715,2,0)</f>
        <v>16714</v>
      </c>
      <c r="H332" s="34" t="e">
        <f aca="false">+VLOOKUP(A332,[1]Hoja1!$B$7:$D$715,3,0)</f>
        <v>#N/A</v>
      </c>
      <c r="I332" s="34" t="n">
        <v>16714</v>
      </c>
    </row>
    <row r="333" customFormat="false" ht="16.5" hidden="false" customHeight="false" outlineLevel="0" collapsed="false">
      <c r="A333" s="49" t="s">
        <v>731</v>
      </c>
      <c r="B333" s="50" t="s">
        <v>732</v>
      </c>
      <c r="C333" s="50" t="s">
        <v>9</v>
      </c>
      <c r="D333" s="51" t="n">
        <v>33530</v>
      </c>
      <c r="E333" s="52" t="n">
        <v>0.19</v>
      </c>
      <c r="F333" s="51" t="n">
        <f aca="false">+D333*(1+E333)</f>
        <v>39900.7</v>
      </c>
      <c r="G333" s="34" t="n">
        <f aca="false">+VLOOKUP(B333,[1]Hoja1!$C$8:$D$715,2,0)</f>
        <v>33530</v>
      </c>
      <c r="H333" s="34" t="e">
        <f aca="false">+VLOOKUP(A333,[1]Hoja1!$B$7:$D$715,3,0)</f>
        <v>#N/A</v>
      </c>
      <c r="I333" s="34" t="n">
        <v>33530</v>
      </c>
    </row>
    <row r="334" customFormat="false" ht="16.5" hidden="false" customHeight="false" outlineLevel="0" collapsed="false">
      <c r="A334" s="49" t="s">
        <v>733</v>
      </c>
      <c r="B334" s="50" t="s">
        <v>734</v>
      </c>
      <c r="C334" s="50" t="s">
        <v>9</v>
      </c>
      <c r="D334" s="51" t="n">
        <v>1856</v>
      </c>
      <c r="E334" s="52" t="n">
        <v>0.19</v>
      </c>
      <c r="F334" s="51" t="n">
        <f aca="false">+D334*(1+E334)</f>
        <v>2208.64</v>
      </c>
      <c r="G334" s="34" t="n">
        <f aca="false">+VLOOKUP(B334,[1]Hoja1!$C$8:$D$715,2,0)</f>
        <v>1856</v>
      </c>
      <c r="H334" s="34" t="e">
        <f aca="false">+VLOOKUP(A334,[1]Hoja1!$B$7:$D$715,3,0)</f>
        <v>#N/A</v>
      </c>
      <c r="I334" s="34" t="n">
        <v>1856</v>
      </c>
    </row>
    <row r="335" customFormat="false" ht="16.5" hidden="false" customHeight="false" outlineLevel="0" collapsed="false">
      <c r="A335" s="49" t="s">
        <v>735</v>
      </c>
      <c r="B335" s="50" t="s">
        <v>736</v>
      </c>
      <c r="C335" s="50" t="s">
        <v>9</v>
      </c>
      <c r="D335" s="51" t="n">
        <v>13649</v>
      </c>
      <c r="E335" s="52" t="n">
        <v>0.19</v>
      </c>
      <c r="F335" s="51" t="n">
        <f aca="false">+D335*(1+E335)</f>
        <v>16242.31</v>
      </c>
      <c r="G335" s="34" t="n">
        <f aca="false">+VLOOKUP(B335,[1]Hoja1!$C$8:$D$715,2,0)</f>
        <v>13649</v>
      </c>
      <c r="H335" s="34" t="e">
        <f aca="false">+VLOOKUP(A335,[1]Hoja1!$B$7:$D$715,3,0)</f>
        <v>#N/A</v>
      </c>
      <c r="I335" s="34" t="n">
        <v>13649</v>
      </c>
    </row>
    <row r="336" customFormat="false" ht="16.5" hidden="false" customHeight="false" outlineLevel="0" collapsed="false">
      <c r="A336" s="49" t="s">
        <v>737</v>
      </c>
      <c r="B336" s="50" t="s">
        <v>738</v>
      </c>
      <c r="C336" s="50" t="s">
        <v>9</v>
      </c>
      <c r="D336" s="51" t="n">
        <v>41516</v>
      </c>
      <c r="E336" s="52" t="n">
        <v>0.19</v>
      </c>
      <c r="F336" s="51" t="n">
        <f aca="false">+D336*(1+E336)</f>
        <v>49404.04</v>
      </c>
      <c r="G336" s="34" t="n">
        <f aca="false">+VLOOKUP(B336,[1]Hoja1!$C$8:$D$715,2,0)</f>
        <v>41516</v>
      </c>
      <c r="H336" s="34" t="e">
        <f aca="false">+VLOOKUP(A336,[1]Hoja1!$B$7:$D$715,3,0)</f>
        <v>#N/A</v>
      </c>
      <c r="I336" s="34" t="n">
        <v>41516</v>
      </c>
    </row>
    <row r="337" customFormat="false" ht="16.5" hidden="false" customHeight="false" outlineLevel="0" collapsed="false">
      <c r="A337" s="49" t="s">
        <v>739</v>
      </c>
      <c r="B337" s="50" t="s">
        <v>740</v>
      </c>
      <c r="C337" s="50" t="s">
        <v>9</v>
      </c>
      <c r="D337" s="51" t="n">
        <v>7140</v>
      </c>
      <c r="E337" s="52" t="n">
        <v>0.19</v>
      </c>
      <c r="F337" s="51" t="n">
        <f aca="false">+D337*(1+E337)</f>
        <v>8496.6</v>
      </c>
      <c r="G337" s="34" t="n">
        <f aca="false">+VLOOKUP(B337,[1]Hoja1!$C$8:$D$715,2,0)</f>
        <v>7140</v>
      </c>
      <c r="H337" s="34" t="e">
        <f aca="false">+VLOOKUP(A337,[1]Hoja1!$B$7:$D$715,3,0)</f>
        <v>#N/A</v>
      </c>
      <c r="I337" s="34" t="n">
        <v>7140</v>
      </c>
    </row>
    <row r="338" customFormat="false" ht="16.5" hidden="false" customHeight="false" outlineLevel="0" collapsed="false">
      <c r="A338" s="49" t="s">
        <v>741</v>
      </c>
      <c r="B338" s="50" t="s">
        <v>742</v>
      </c>
      <c r="C338" s="50" t="s">
        <v>9</v>
      </c>
      <c r="D338" s="51" t="n">
        <v>12846</v>
      </c>
      <c r="E338" s="52" t="n">
        <v>0.19</v>
      </c>
      <c r="F338" s="51" t="n">
        <f aca="false">+D338*(1+E338)</f>
        <v>15286.74</v>
      </c>
      <c r="G338" s="34" t="n">
        <f aca="false">+VLOOKUP(B338,[1]Hoja1!$C$8:$D$715,2,0)</f>
        <v>12846</v>
      </c>
      <c r="H338" s="34" t="e">
        <f aca="false">+VLOOKUP(A338,[1]Hoja1!$B$7:$D$715,3,0)</f>
        <v>#N/A</v>
      </c>
      <c r="I338" s="34" t="n">
        <v>12846</v>
      </c>
    </row>
    <row r="339" customFormat="false" ht="16.5" hidden="false" customHeight="false" outlineLevel="0" collapsed="false">
      <c r="A339" s="49" t="s">
        <v>743</v>
      </c>
      <c r="B339" s="50" t="s">
        <v>744</v>
      </c>
      <c r="C339" s="50" t="s">
        <v>9</v>
      </c>
      <c r="D339" s="51" t="n">
        <v>32892</v>
      </c>
      <c r="E339" s="52" t="n">
        <v>0.19</v>
      </c>
      <c r="F339" s="51" t="n">
        <f aca="false">+D339*(1+E339)</f>
        <v>39141.48</v>
      </c>
      <c r="G339" s="34" t="n">
        <f aca="false">+VLOOKUP(B339,[1]Hoja1!$C$8:$D$715,2,0)</f>
        <v>32892</v>
      </c>
      <c r="H339" s="34" t="e">
        <f aca="false">+VLOOKUP(A339,[1]Hoja1!$B$7:$D$715,3,0)</f>
        <v>#N/A</v>
      </c>
      <c r="I339" s="34" t="n">
        <v>32892</v>
      </c>
    </row>
    <row r="340" customFormat="false" ht="16.5" hidden="false" customHeight="false" outlineLevel="0" collapsed="false">
      <c r="A340" s="49" t="s">
        <v>745</v>
      </c>
      <c r="B340" s="50" t="s">
        <v>746</v>
      </c>
      <c r="C340" s="50" t="s">
        <v>9</v>
      </c>
      <c r="D340" s="51" t="n">
        <v>26952</v>
      </c>
      <c r="E340" s="52" t="n">
        <v>0.19</v>
      </c>
      <c r="F340" s="51" t="n">
        <f aca="false">+D340*(1+E340)</f>
        <v>32072.88</v>
      </c>
      <c r="G340" s="34" t="n">
        <f aca="false">+VLOOKUP(B340,[1]Hoja1!$C$8:$D$715,2,0)</f>
        <v>26952</v>
      </c>
      <c r="H340" s="34" t="e">
        <f aca="false">+VLOOKUP(A340,[1]Hoja1!$B$7:$D$715,3,0)</f>
        <v>#N/A</v>
      </c>
      <c r="I340" s="34" t="n">
        <v>26952</v>
      </c>
    </row>
    <row r="341" customFormat="false" ht="16.5" hidden="false" customHeight="false" outlineLevel="0" collapsed="false">
      <c r="A341" s="49" t="s">
        <v>747</v>
      </c>
      <c r="B341" s="50" t="s">
        <v>748</v>
      </c>
      <c r="C341" s="50" t="s">
        <v>9</v>
      </c>
      <c r="D341" s="51" t="n">
        <v>4334</v>
      </c>
      <c r="E341" s="52" t="n">
        <v>0.19</v>
      </c>
      <c r="F341" s="51" t="n">
        <f aca="false">+D341*(1+E341)</f>
        <v>5157.46</v>
      </c>
      <c r="G341" s="34" t="n">
        <f aca="false">+VLOOKUP(B341,[1]Hoja1!$C$8:$D$715,2,0)</f>
        <v>4334</v>
      </c>
      <c r="H341" s="34" t="e">
        <f aca="false">+VLOOKUP(A341,[1]Hoja1!$B$7:$D$715,3,0)</f>
        <v>#N/A</v>
      </c>
      <c r="I341" s="34" t="n">
        <v>4334</v>
      </c>
    </row>
    <row r="342" customFormat="false" ht="16.5" hidden="false" customHeight="false" outlineLevel="0" collapsed="false">
      <c r="A342" s="49" t="s">
        <v>749</v>
      </c>
      <c r="B342" s="50" t="s">
        <v>750</v>
      </c>
      <c r="C342" s="50" t="s">
        <v>9</v>
      </c>
      <c r="D342" s="51" t="n">
        <v>7364</v>
      </c>
      <c r="E342" s="52" t="n">
        <v>0.19</v>
      </c>
      <c r="F342" s="51" t="n">
        <f aca="false">+D342*(1+E342)</f>
        <v>8763.16</v>
      </c>
      <c r="G342" s="34" t="n">
        <f aca="false">+VLOOKUP(B342,[1]Hoja1!$C$8:$D$715,2,0)</f>
        <v>7364</v>
      </c>
      <c r="H342" s="34" t="e">
        <f aca="false">+VLOOKUP(A342,[1]Hoja1!$B$7:$D$715,3,0)</f>
        <v>#N/A</v>
      </c>
      <c r="I342" s="34" t="n">
        <v>7364</v>
      </c>
    </row>
    <row r="343" customFormat="false" ht="16.5" hidden="false" customHeight="false" outlineLevel="0" collapsed="false">
      <c r="A343" s="49" t="s">
        <v>751</v>
      </c>
      <c r="B343" s="50" t="s">
        <v>752</v>
      </c>
      <c r="C343" s="50" t="s">
        <v>9</v>
      </c>
      <c r="D343" s="51" t="n">
        <v>3884</v>
      </c>
      <c r="E343" s="52" t="n">
        <v>0.19</v>
      </c>
      <c r="F343" s="51" t="n">
        <f aca="false">+D343*(1+E343)</f>
        <v>4621.96</v>
      </c>
      <c r="G343" s="34" t="n">
        <f aca="false">+VLOOKUP(B343,[1]Hoja1!$C$8:$D$715,2,0)</f>
        <v>3884</v>
      </c>
      <c r="H343" s="34" t="e">
        <f aca="false">+VLOOKUP(A343,[1]Hoja1!$B$7:$D$715,3,0)</f>
        <v>#N/A</v>
      </c>
      <c r="I343" s="34" t="n">
        <v>3884</v>
      </c>
    </row>
    <row r="344" customFormat="false" ht="16.5" hidden="false" customHeight="false" outlineLevel="0" collapsed="false">
      <c r="A344" s="49" t="s">
        <v>753</v>
      </c>
      <c r="B344" s="50" t="s">
        <v>754</v>
      </c>
      <c r="C344" s="50" t="s">
        <v>9</v>
      </c>
      <c r="D344" s="51" t="n">
        <v>17146</v>
      </c>
      <c r="E344" s="52" t="n">
        <v>0.19</v>
      </c>
      <c r="F344" s="51" t="n">
        <f aca="false">+D344*(1+E344)</f>
        <v>20403.74</v>
      </c>
      <c r="G344" s="34" t="n">
        <f aca="false">+VLOOKUP(B344,[1]Hoja1!$C$8:$D$715,2,0)</f>
        <v>17146</v>
      </c>
      <c r="H344" s="34" t="e">
        <f aca="false">+VLOOKUP(A344,[1]Hoja1!$B$7:$D$715,3,0)</f>
        <v>#N/A</v>
      </c>
      <c r="I344" s="34" t="n">
        <v>17146</v>
      </c>
    </row>
    <row r="345" customFormat="false" ht="16.5" hidden="false" customHeight="false" outlineLevel="0" collapsed="false">
      <c r="A345" s="49" t="s">
        <v>755</v>
      </c>
      <c r="B345" s="50" t="s">
        <v>756</v>
      </c>
      <c r="C345" s="50" t="s">
        <v>9</v>
      </c>
      <c r="D345" s="51" t="n">
        <v>7494</v>
      </c>
      <c r="E345" s="52" t="n">
        <v>0.19</v>
      </c>
      <c r="F345" s="51" t="n">
        <f aca="false">+D345*(1+E345)</f>
        <v>8917.86</v>
      </c>
      <c r="G345" s="34" t="n">
        <f aca="false">+VLOOKUP(B345,[1]Hoja1!$C$8:$D$715,2,0)</f>
        <v>7494</v>
      </c>
      <c r="H345" s="34" t="e">
        <f aca="false">+VLOOKUP(A345,[1]Hoja1!$B$7:$D$715,3,0)</f>
        <v>#N/A</v>
      </c>
      <c r="I345" s="34" t="n">
        <v>7494</v>
      </c>
    </row>
    <row r="346" customFormat="false" ht="16.5" hidden="false" customHeight="false" outlineLevel="0" collapsed="false">
      <c r="A346" s="49" t="s">
        <v>757</v>
      </c>
      <c r="B346" s="50" t="s">
        <v>758</v>
      </c>
      <c r="C346" s="50" t="s">
        <v>9</v>
      </c>
      <c r="D346" s="51" t="n">
        <v>5171</v>
      </c>
      <c r="E346" s="52" t="n">
        <v>0.05</v>
      </c>
      <c r="F346" s="51" t="n">
        <f aca="false">+D346*(1+E346)</f>
        <v>5429.55</v>
      </c>
      <c r="G346" s="34" t="n">
        <f aca="false">+VLOOKUP(B346,[1]Hoja1!$C$8:$D$715,2,0)</f>
        <v>5171</v>
      </c>
      <c r="H346" s="34" t="e">
        <f aca="false">+VLOOKUP(A346,[1]Hoja1!$B$7:$D$715,3,0)</f>
        <v>#N/A</v>
      </c>
      <c r="I346" s="34" t="n">
        <v>5171</v>
      </c>
    </row>
    <row r="347" customFormat="false" ht="16.5" hidden="false" customHeight="false" outlineLevel="0" collapsed="false">
      <c r="A347" s="49" t="s">
        <v>759</v>
      </c>
      <c r="B347" s="50" t="s">
        <v>760</v>
      </c>
      <c r="C347" s="50" t="s">
        <v>9</v>
      </c>
      <c r="D347" s="51" t="n">
        <v>2571</v>
      </c>
      <c r="E347" s="52" t="n">
        <v>0.05</v>
      </c>
      <c r="F347" s="51" t="n">
        <f aca="false">+D347*(1+E347)</f>
        <v>2699.55</v>
      </c>
      <c r="G347" s="34" t="n">
        <f aca="false">+VLOOKUP(B347,[1]Hoja1!$C$8:$D$715,2,0)</f>
        <v>2571</v>
      </c>
      <c r="H347" s="34" t="e">
        <f aca="false">+VLOOKUP(A347,[1]Hoja1!$B$7:$D$715,3,0)</f>
        <v>#N/A</v>
      </c>
      <c r="I347" s="34" t="n">
        <v>2571</v>
      </c>
    </row>
    <row r="348" customFormat="false" ht="16.5" hidden="false" customHeight="false" outlineLevel="0" collapsed="false">
      <c r="A348" s="49" t="s">
        <v>761</v>
      </c>
      <c r="B348" s="50" t="s">
        <v>762</v>
      </c>
      <c r="C348" s="50" t="s">
        <v>9</v>
      </c>
      <c r="D348" s="51" t="n">
        <v>7657</v>
      </c>
      <c r="E348" s="52" t="n">
        <v>0.05</v>
      </c>
      <c r="F348" s="51" t="n">
        <f aca="false">+D348*(1+E348)</f>
        <v>8039.85</v>
      </c>
      <c r="G348" s="34" t="n">
        <f aca="false">+VLOOKUP(B348,[1]Hoja1!$C$8:$D$715,2,0)</f>
        <v>7657</v>
      </c>
      <c r="H348" s="34" t="e">
        <f aca="false">+VLOOKUP(A348,[1]Hoja1!$B$7:$D$715,3,0)</f>
        <v>#N/A</v>
      </c>
      <c r="I348" s="34" t="n">
        <v>7657</v>
      </c>
    </row>
    <row r="349" customFormat="false" ht="16.5" hidden="false" customHeight="false" outlineLevel="0" collapsed="false">
      <c r="A349" s="49" t="s">
        <v>763</v>
      </c>
      <c r="B349" s="50" t="s">
        <v>764</v>
      </c>
      <c r="C349" s="50" t="s">
        <v>9</v>
      </c>
      <c r="D349" s="51" t="n">
        <v>19629</v>
      </c>
      <c r="E349" s="52" t="n">
        <v>0.05</v>
      </c>
      <c r="F349" s="51" t="n">
        <f aca="false">+D349*(1+E349)</f>
        <v>20610.45</v>
      </c>
      <c r="G349" s="34" t="n">
        <f aca="false">+VLOOKUP(B349,[1]Hoja1!$C$8:$D$715,2,0)</f>
        <v>19629</v>
      </c>
      <c r="H349" s="34" t="e">
        <f aca="false">+VLOOKUP(A349,[1]Hoja1!$B$7:$D$715,3,0)</f>
        <v>#N/A</v>
      </c>
      <c r="I349" s="34" t="n">
        <v>19629</v>
      </c>
    </row>
    <row r="350" customFormat="false" ht="16.5" hidden="false" customHeight="false" outlineLevel="0" collapsed="false">
      <c r="A350" s="49" t="s">
        <v>765</v>
      </c>
      <c r="B350" s="50" t="s">
        <v>766</v>
      </c>
      <c r="C350" s="50" t="s">
        <v>9</v>
      </c>
      <c r="D350" s="51" t="n">
        <v>9981</v>
      </c>
      <c r="E350" s="52" t="n">
        <v>0.05</v>
      </c>
      <c r="F350" s="51" t="n">
        <f aca="false">+D350*(1+E350)</f>
        <v>10480.05</v>
      </c>
      <c r="G350" s="34" t="n">
        <f aca="false">+VLOOKUP(B350,[1]Hoja1!$C$8:$D$715,2,0)</f>
        <v>9981</v>
      </c>
      <c r="H350" s="34" t="e">
        <f aca="false">+VLOOKUP(A350,[1]Hoja1!$B$7:$D$715,3,0)</f>
        <v>#N/A</v>
      </c>
      <c r="I350" s="34" t="n">
        <v>9981</v>
      </c>
    </row>
    <row r="351" customFormat="false" ht="16.5" hidden="false" customHeight="false" outlineLevel="0" collapsed="false">
      <c r="A351" s="49" t="s">
        <v>767</v>
      </c>
      <c r="B351" s="50" t="s">
        <v>768</v>
      </c>
      <c r="C351" s="50" t="s">
        <v>9</v>
      </c>
      <c r="D351" s="51" t="n">
        <v>1286</v>
      </c>
      <c r="E351" s="52" t="n">
        <v>0.05</v>
      </c>
      <c r="F351" s="51" t="n">
        <f aca="false">+D351*(1+E351)</f>
        <v>1350.3</v>
      </c>
      <c r="G351" s="34" t="n">
        <f aca="false">+VLOOKUP(B351,[1]Hoja1!$C$8:$D$715,2,0)</f>
        <v>1286</v>
      </c>
      <c r="H351" s="34" t="e">
        <f aca="false">+VLOOKUP(A351,[1]Hoja1!$B$7:$D$715,3,0)</f>
        <v>#N/A</v>
      </c>
      <c r="I351" s="34" t="n">
        <v>1286</v>
      </c>
    </row>
    <row r="352" customFormat="false" ht="16.5" hidden="false" customHeight="false" outlineLevel="0" collapsed="false">
      <c r="A352" s="49" t="s">
        <v>769</v>
      </c>
      <c r="B352" s="50" t="s">
        <v>770</v>
      </c>
      <c r="C352" s="50" t="s">
        <v>9</v>
      </c>
      <c r="D352" s="51" t="n">
        <v>11229</v>
      </c>
      <c r="E352" s="52" t="n">
        <v>0.05</v>
      </c>
      <c r="F352" s="51" t="n">
        <f aca="false">+D352*(1+E352)</f>
        <v>11790.45</v>
      </c>
      <c r="G352" s="34" t="n">
        <f aca="false">+VLOOKUP(B352,[1]Hoja1!$C$8:$D$715,2,0)</f>
        <v>11229</v>
      </c>
      <c r="H352" s="34" t="e">
        <f aca="false">+VLOOKUP(A352,[1]Hoja1!$B$7:$D$715,3,0)</f>
        <v>#N/A</v>
      </c>
      <c r="I352" s="34" t="n">
        <v>11229</v>
      </c>
    </row>
    <row r="353" customFormat="false" ht="16.5" hidden="false" customHeight="false" outlineLevel="0" collapsed="false">
      <c r="A353" s="49" t="s">
        <v>771</v>
      </c>
      <c r="B353" s="50" t="s">
        <v>772</v>
      </c>
      <c r="C353" s="50" t="s">
        <v>9</v>
      </c>
      <c r="D353" s="51" t="n">
        <v>5990</v>
      </c>
      <c r="E353" s="52" t="n">
        <v>0.05</v>
      </c>
      <c r="F353" s="51" t="n">
        <f aca="false">+D353*(1+E353)</f>
        <v>6289.5</v>
      </c>
      <c r="G353" s="34" t="n">
        <f aca="false">+VLOOKUP(B353,[1]Hoja1!$C$8:$D$715,2,0)</f>
        <v>5990</v>
      </c>
      <c r="H353" s="34" t="e">
        <f aca="false">+VLOOKUP(A353,[1]Hoja1!$B$7:$D$715,3,0)</f>
        <v>#N/A</v>
      </c>
      <c r="I353" s="34" t="n">
        <v>5990</v>
      </c>
    </row>
    <row r="354" customFormat="false" ht="16.5" hidden="false" customHeight="false" outlineLevel="0" collapsed="false">
      <c r="A354" s="49" t="s">
        <v>773</v>
      </c>
      <c r="B354" s="50" t="s">
        <v>774</v>
      </c>
      <c r="C354" s="50" t="s">
        <v>9</v>
      </c>
      <c r="D354" s="51" t="n">
        <v>3095</v>
      </c>
      <c r="E354" s="52" t="n">
        <v>0.05</v>
      </c>
      <c r="F354" s="51" t="n">
        <f aca="false">+D354*(1+E354)</f>
        <v>3249.75</v>
      </c>
      <c r="G354" s="34" t="n">
        <f aca="false">+VLOOKUP(B354,[1]Hoja1!$C$8:$D$715,2,0)</f>
        <v>3095</v>
      </c>
      <c r="H354" s="34" t="e">
        <f aca="false">+VLOOKUP(A354,[1]Hoja1!$B$7:$D$715,3,0)</f>
        <v>#N/A</v>
      </c>
      <c r="I354" s="34" t="n">
        <v>3095</v>
      </c>
    </row>
    <row r="355" customFormat="false" ht="16.5" hidden="false" customHeight="false" outlineLevel="0" collapsed="false">
      <c r="A355" s="49" t="s">
        <v>775</v>
      </c>
      <c r="B355" s="50" t="s">
        <v>776</v>
      </c>
      <c r="C355" s="50" t="s">
        <v>9</v>
      </c>
      <c r="D355" s="51" t="n">
        <v>1724</v>
      </c>
      <c r="E355" s="52" t="n">
        <v>0.05</v>
      </c>
      <c r="F355" s="51" t="n">
        <f aca="false">+D355*(1+E355)</f>
        <v>1810.2</v>
      </c>
      <c r="G355" s="34" t="n">
        <f aca="false">+VLOOKUP(B355,[1]Hoja1!$C$8:$D$715,2,0)</f>
        <v>1724</v>
      </c>
      <c r="H355" s="34" t="e">
        <f aca="false">+VLOOKUP(A355,[1]Hoja1!$B$7:$D$715,3,0)</f>
        <v>#N/A</v>
      </c>
      <c r="I355" s="34" t="n">
        <v>1724</v>
      </c>
    </row>
    <row r="356" customFormat="false" ht="16.5" hidden="false" customHeight="false" outlineLevel="0" collapsed="false">
      <c r="A356" s="49" t="s">
        <v>777</v>
      </c>
      <c r="B356" s="50" t="s">
        <v>778</v>
      </c>
      <c r="C356" s="50" t="s">
        <v>9</v>
      </c>
      <c r="D356" s="51" t="n">
        <v>9429</v>
      </c>
      <c r="E356" s="52" t="n">
        <v>0.05</v>
      </c>
      <c r="F356" s="51" t="n">
        <f aca="false">+D356*(1+E356)</f>
        <v>9900.45</v>
      </c>
      <c r="G356" s="34" t="n">
        <f aca="false">+VLOOKUP(B356,[1]Hoja1!$C$8:$D$715,2,0)</f>
        <v>9429</v>
      </c>
      <c r="H356" s="34" t="e">
        <f aca="false">+VLOOKUP(A356,[1]Hoja1!$B$7:$D$715,3,0)</f>
        <v>#N/A</v>
      </c>
      <c r="I356" s="34" t="n">
        <v>9429</v>
      </c>
    </row>
    <row r="357" customFormat="false" ht="16.5" hidden="false" customHeight="false" outlineLevel="0" collapsed="false">
      <c r="A357" s="49" t="s">
        <v>779</v>
      </c>
      <c r="B357" s="50" t="s">
        <v>780</v>
      </c>
      <c r="C357" s="50" t="s">
        <v>9</v>
      </c>
      <c r="D357" s="51" t="n">
        <v>5362</v>
      </c>
      <c r="E357" s="52" t="n">
        <v>0.05</v>
      </c>
      <c r="F357" s="51" t="n">
        <f aca="false">+D357*(1+E357)</f>
        <v>5630.1</v>
      </c>
      <c r="G357" s="34" t="n">
        <f aca="false">+VLOOKUP(B357,[1]Hoja1!$C$8:$D$715,2,0)</f>
        <v>5362</v>
      </c>
      <c r="H357" s="34" t="e">
        <f aca="false">+VLOOKUP(A357,[1]Hoja1!$B$7:$D$715,3,0)</f>
        <v>#N/A</v>
      </c>
      <c r="I357" s="34" t="n">
        <v>5362</v>
      </c>
    </row>
    <row r="358" customFormat="false" ht="16.5" hidden="false" customHeight="false" outlineLevel="0" collapsed="false">
      <c r="A358" s="49" t="s">
        <v>781</v>
      </c>
      <c r="B358" s="50" t="s">
        <v>782</v>
      </c>
      <c r="C358" s="50" t="s">
        <v>9</v>
      </c>
      <c r="D358" s="51" t="n">
        <v>73157</v>
      </c>
      <c r="E358" s="52" t="n">
        <v>0.19</v>
      </c>
      <c r="F358" s="51" t="n">
        <f aca="false">+D358*(1+E358)</f>
        <v>87056.83</v>
      </c>
      <c r="G358" s="34" t="n">
        <f aca="false">+VLOOKUP(B358,[1]Hoja1!$C$8:$D$715,2,0)</f>
        <v>73157</v>
      </c>
      <c r="H358" s="34" t="e">
        <f aca="false">+VLOOKUP(A358,[1]Hoja1!$B$7:$D$715,3,0)</f>
        <v>#N/A</v>
      </c>
      <c r="I358" s="34" t="n">
        <v>73157</v>
      </c>
    </row>
    <row r="359" customFormat="false" ht="16.5" hidden="false" customHeight="false" outlineLevel="0" collapsed="false">
      <c r="A359" s="49" t="s">
        <v>783</v>
      </c>
      <c r="B359" s="50" t="s">
        <v>784</v>
      </c>
      <c r="C359" s="50" t="s">
        <v>9</v>
      </c>
      <c r="D359" s="51" t="n">
        <v>13174</v>
      </c>
      <c r="E359" s="52" t="n">
        <v>0.19</v>
      </c>
      <c r="F359" s="51" t="n">
        <f aca="false">+D359*(1+E359)</f>
        <v>15677.06</v>
      </c>
      <c r="G359" s="34" t="n">
        <f aca="false">+VLOOKUP(B359,[1]Hoja1!$C$8:$D$715,2,0)</f>
        <v>13174</v>
      </c>
      <c r="H359" s="34" t="e">
        <f aca="false">+VLOOKUP(A359,[1]Hoja1!$B$7:$D$715,3,0)</f>
        <v>#N/A</v>
      </c>
      <c r="I359" s="34" t="n">
        <v>13174</v>
      </c>
    </row>
    <row r="360" customFormat="false" ht="15.75" hidden="false" customHeight="true" outlineLevel="0" collapsed="false">
      <c r="A360" s="49" t="s">
        <v>785</v>
      </c>
      <c r="B360" s="50" t="s">
        <v>786</v>
      </c>
      <c r="C360" s="50" t="s">
        <v>9</v>
      </c>
      <c r="D360" s="51" t="n">
        <v>6820</v>
      </c>
      <c r="E360" s="52" t="n">
        <v>0.19</v>
      </c>
      <c r="F360" s="51" t="n">
        <f aca="false">+D360*(1+E360)</f>
        <v>8115.8</v>
      </c>
      <c r="G360" s="34" t="n">
        <f aca="false">+VLOOKUP(B360,[1]Hoja1!$C$8:$D$715,2,0)</f>
        <v>6820</v>
      </c>
      <c r="H360" s="34" t="e">
        <f aca="false">+VLOOKUP(A360,[1]Hoja1!$B$7:$D$715,3,0)</f>
        <v>#N/A</v>
      </c>
      <c r="I360" s="34" t="n">
        <v>6820</v>
      </c>
    </row>
    <row r="361" customFormat="false" ht="16.5" hidden="false" customHeight="false" outlineLevel="0" collapsed="false">
      <c r="A361" s="49" t="s">
        <v>787</v>
      </c>
      <c r="B361" s="50" t="s">
        <v>788</v>
      </c>
      <c r="C361" s="50" t="s">
        <v>9</v>
      </c>
      <c r="D361" s="51" t="n">
        <v>20141</v>
      </c>
      <c r="E361" s="52" t="n">
        <v>0.19</v>
      </c>
      <c r="F361" s="51" t="n">
        <f aca="false">+D361*(1+E361)</f>
        <v>23967.79</v>
      </c>
      <c r="G361" s="34" t="n">
        <f aca="false">+VLOOKUP(B361,[1]Hoja1!$C$8:$D$715,2,0)</f>
        <v>20141</v>
      </c>
      <c r="H361" s="34" t="e">
        <f aca="false">+VLOOKUP(A361,[1]Hoja1!$B$7:$D$715,3,0)</f>
        <v>#N/A</v>
      </c>
      <c r="I361" s="34" t="n">
        <v>20141</v>
      </c>
    </row>
    <row r="362" customFormat="false" ht="16.5" hidden="false" customHeight="false" outlineLevel="0" collapsed="false">
      <c r="A362" s="49" t="s">
        <v>789</v>
      </c>
      <c r="B362" s="50" t="s">
        <v>790</v>
      </c>
      <c r="C362" s="50" t="s">
        <v>9</v>
      </c>
      <c r="D362" s="51" t="n">
        <v>12518</v>
      </c>
      <c r="E362" s="52" t="n">
        <v>0.19</v>
      </c>
      <c r="F362" s="51" t="n">
        <f aca="false">+D362*(1+E362)</f>
        <v>14896.42</v>
      </c>
      <c r="G362" s="34" t="n">
        <f aca="false">+VLOOKUP(B362,[1]Hoja1!$C$8:$D$715,2,0)</f>
        <v>12518</v>
      </c>
      <c r="H362" s="34" t="e">
        <f aca="false">+VLOOKUP(A362,[1]Hoja1!$B$7:$D$715,3,0)</f>
        <v>#N/A</v>
      </c>
      <c r="I362" s="34" t="n">
        <v>12518</v>
      </c>
    </row>
    <row r="363" customFormat="false" ht="16.5" hidden="false" customHeight="false" outlineLevel="0" collapsed="false">
      <c r="A363" s="49" t="s">
        <v>791</v>
      </c>
      <c r="B363" s="50" t="s">
        <v>792</v>
      </c>
      <c r="C363" s="50" t="s">
        <v>9</v>
      </c>
      <c r="D363" s="51" t="n">
        <v>13183</v>
      </c>
      <c r="E363" s="52" t="n">
        <v>0.19</v>
      </c>
      <c r="F363" s="51" t="n">
        <f aca="false">+D363*(1+E363)</f>
        <v>15687.77</v>
      </c>
      <c r="G363" s="34" t="n">
        <f aca="false">+VLOOKUP(B363,[1]Hoja1!$C$8:$D$715,2,0)</f>
        <v>13183</v>
      </c>
      <c r="H363" s="34" t="e">
        <f aca="false">+VLOOKUP(A363,[1]Hoja1!$B$7:$D$715,3,0)</f>
        <v>#N/A</v>
      </c>
      <c r="I363" s="34" t="n">
        <v>13183</v>
      </c>
    </row>
    <row r="364" customFormat="false" ht="16.5" hidden="false" customHeight="false" outlineLevel="0" collapsed="false">
      <c r="A364" s="49" t="s">
        <v>793</v>
      </c>
      <c r="B364" s="50" t="s">
        <v>794</v>
      </c>
      <c r="C364" s="50" t="s">
        <v>9</v>
      </c>
      <c r="D364" s="51" t="n">
        <v>39462</v>
      </c>
      <c r="E364" s="52" t="n">
        <v>0.19</v>
      </c>
      <c r="F364" s="51" t="n">
        <f aca="false">+D364*(1+E364)</f>
        <v>46959.78</v>
      </c>
      <c r="G364" s="34" t="n">
        <f aca="false">+VLOOKUP(B364,[1]Hoja1!$C$8:$D$715,2,0)</f>
        <v>39462</v>
      </c>
      <c r="H364" s="34" t="e">
        <f aca="false">+VLOOKUP(A364,[1]Hoja1!$B$7:$D$715,3,0)</f>
        <v>#N/A</v>
      </c>
      <c r="I364" s="34" t="n">
        <v>39462</v>
      </c>
    </row>
    <row r="365" customFormat="false" ht="16.5" hidden="false" customHeight="false" outlineLevel="0" collapsed="false">
      <c r="A365" s="49" t="s">
        <v>795</v>
      </c>
      <c r="B365" s="50" t="s">
        <v>796</v>
      </c>
      <c r="C365" s="50" t="s">
        <v>9</v>
      </c>
      <c r="D365" s="51" t="n">
        <v>10964</v>
      </c>
      <c r="E365" s="52" t="n">
        <v>0.19</v>
      </c>
      <c r="F365" s="51" t="n">
        <f aca="false">+D365*(1+E365)</f>
        <v>13047.16</v>
      </c>
      <c r="G365" s="34" t="n">
        <f aca="false">+VLOOKUP(B365,[1]Hoja1!$C$8:$D$715,2,0)</f>
        <v>10964</v>
      </c>
      <c r="H365" s="34" t="e">
        <f aca="false">+VLOOKUP(A365,[1]Hoja1!$B$7:$D$715,3,0)</f>
        <v>#N/A</v>
      </c>
      <c r="I365" s="34" t="n">
        <v>10964</v>
      </c>
    </row>
    <row r="366" customFormat="false" ht="15.75" hidden="false" customHeight="false" outlineLevel="0" collapsed="false">
      <c r="H366" s="34" t="e">
        <f aca="false">+VLOOKUP(A366,[1]Hoja1!$B$7:$D$715,3,0)</f>
        <v>#N/A</v>
      </c>
    </row>
    <row r="367" customFormat="false" ht="19.5" hidden="false" customHeight="false" outlineLevel="0" collapsed="false">
      <c r="A367" s="43" t="s">
        <v>797</v>
      </c>
      <c r="B367" s="43"/>
      <c r="C367" s="43"/>
      <c r="D367" s="43"/>
      <c r="E367" s="43"/>
      <c r="H367" s="34" t="e">
        <f aca="false">+VLOOKUP(A367,[1]Hoja1!$B$7:$D$715,3,0)</f>
        <v>#N/A</v>
      </c>
    </row>
    <row r="368" customFormat="false" ht="31.5" hidden="false" customHeight="false" outlineLevel="0" collapsed="false">
      <c r="A368" s="44" t="s">
        <v>167</v>
      </c>
      <c r="B368" s="45" t="s">
        <v>168</v>
      </c>
      <c r="C368" s="45" t="s">
        <v>9</v>
      </c>
      <c r="D368" s="46" t="s">
        <v>10</v>
      </c>
      <c r="E368" s="47" t="s">
        <v>11</v>
      </c>
      <c r="F368" s="48" t="s">
        <v>169</v>
      </c>
      <c r="H368" s="34" t="e">
        <f aca="false">+VLOOKUP(A368,[1]Hoja1!$B$7:$D$715,3,0)</f>
        <v>#N/A</v>
      </c>
    </row>
    <row r="369" customFormat="false" ht="16.5" hidden="false" customHeight="false" outlineLevel="0" collapsed="false">
      <c r="A369" s="49" t="s">
        <v>798</v>
      </c>
      <c r="B369" s="50" t="s">
        <v>799</v>
      </c>
      <c r="C369" s="50" t="s">
        <v>9</v>
      </c>
      <c r="D369" s="51" t="n">
        <v>1252</v>
      </c>
      <c r="E369" s="52" t="n">
        <v>0.19</v>
      </c>
      <c r="F369" s="51" t="n">
        <f aca="false">+D369*(1+E369)</f>
        <v>1489.88</v>
      </c>
      <c r="G369" s="34" t="n">
        <f aca="false">+VLOOKUP(B369,[1]Hoja1!$C$8:$D$715,2,0)</f>
        <v>0</v>
      </c>
      <c r="H369" s="34" t="e">
        <f aca="false">+VLOOKUP(A369,[1]Hoja1!$B$7:$D$715,3,0)</f>
        <v>#N/A</v>
      </c>
      <c r="I369" s="34" t="n">
        <v>0</v>
      </c>
    </row>
    <row r="370" customFormat="false" ht="16.5" hidden="false" customHeight="false" outlineLevel="0" collapsed="false">
      <c r="A370" s="49" t="s">
        <v>800</v>
      </c>
      <c r="B370" s="50" t="s">
        <v>801</v>
      </c>
      <c r="C370" s="50" t="s">
        <v>9</v>
      </c>
      <c r="D370" s="51" t="n">
        <v>891</v>
      </c>
      <c r="E370" s="52" t="n">
        <v>0.19</v>
      </c>
      <c r="F370" s="51" t="n">
        <f aca="false">+D370*(1+E370)</f>
        <v>1060.29</v>
      </c>
      <c r="G370" s="34" t="n">
        <f aca="false">+VLOOKUP(B370,[1]Hoja1!$C$8:$D$715,2,0)</f>
        <v>0</v>
      </c>
      <c r="H370" s="34" t="e">
        <f aca="false">+VLOOKUP(A370,[1]Hoja1!$B$7:$D$715,3,0)</f>
        <v>#N/A</v>
      </c>
      <c r="I370" s="34" t="n">
        <v>0</v>
      </c>
    </row>
    <row r="371" customFormat="false" ht="16.5" hidden="false" customHeight="false" outlineLevel="0" collapsed="false">
      <c r="A371" s="49" t="s">
        <v>802</v>
      </c>
      <c r="B371" s="50" t="s">
        <v>803</v>
      </c>
      <c r="C371" s="50" t="s">
        <v>9</v>
      </c>
      <c r="D371" s="51" t="n">
        <v>1050</v>
      </c>
      <c r="E371" s="52" t="n">
        <v>0.19</v>
      </c>
      <c r="F371" s="51" t="n">
        <f aca="false">+D371*(1+E371)</f>
        <v>1249.5</v>
      </c>
      <c r="G371" s="34" t="n">
        <f aca="false">+VLOOKUP(B371,[1]Hoja1!$C$8:$D$715,2,0)</f>
        <v>1050</v>
      </c>
      <c r="H371" s="34" t="e">
        <f aca="false">+VLOOKUP(A371,[1]Hoja1!$B$7:$D$715,3,0)</f>
        <v>#N/A</v>
      </c>
      <c r="I371" s="34" t="n">
        <v>1050</v>
      </c>
    </row>
    <row r="372" customFormat="false" ht="16.5" hidden="false" customHeight="false" outlineLevel="0" collapsed="false">
      <c r="A372" s="49" t="s">
        <v>804</v>
      </c>
      <c r="B372" s="50" t="s">
        <v>805</v>
      </c>
      <c r="C372" s="50" t="s">
        <v>9</v>
      </c>
      <c r="D372" s="51" t="n">
        <v>395</v>
      </c>
      <c r="E372" s="52" t="n">
        <v>0.19</v>
      </c>
      <c r="F372" s="51" t="n">
        <f aca="false">+D372*(1+E372)</f>
        <v>470.05</v>
      </c>
      <c r="G372" s="34" t="n">
        <f aca="false">+VLOOKUP(B372,[1]Hoja1!$C$8:$D$715,2,0)</f>
        <v>395</v>
      </c>
      <c r="H372" s="34" t="e">
        <f aca="false">+VLOOKUP(A372,[1]Hoja1!$B$7:$D$715,3,0)</f>
        <v>#N/A</v>
      </c>
      <c r="I372" s="34" t="n">
        <v>395</v>
      </c>
    </row>
    <row r="373" customFormat="false" ht="16.5" hidden="false" customHeight="false" outlineLevel="0" collapsed="false">
      <c r="A373" s="49" t="s">
        <v>806</v>
      </c>
      <c r="B373" s="50" t="s">
        <v>807</v>
      </c>
      <c r="C373" s="50" t="s">
        <v>9</v>
      </c>
      <c r="D373" s="51" t="n">
        <v>1874</v>
      </c>
      <c r="E373" s="52" t="n">
        <v>0.19</v>
      </c>
      <c r="F373" s="51" t="n">
        <f aca="false">+D373*(1+E373)</f>
        <v>2230.06</v>
      </c>
      <c r="G373" s="34" t="n">
        <f aca="false">+VLOOKUP(B373,[1]Hoja1!$C$8:$D$715,2,0)</f>
        <v>0</v>
      </c>
      <c r="H373" s="34" t="e">
        <f aca="false">+VLOOKUP(A373,[1]Hoja1!$B$7:$D$715,3,0)</f>
        <v>#N/A</v>
      </c>
      <c r="I373" s="34" t="n">
        <v>0</v>
      </c>
    </row>
    <row r="374" customFormat="false" ht="16.5" hidden="false" customHeight="false" outlineLevel="0" collapsed="false">
      <c r="A374" s="49" t="s">
        <v>808</v>
      </c>
      <c r="B374" s="50" t="s">
        <v>809</v>
      </c>
      <c r="C374" s="50" t="s">
        <v>9</v>
      </c>
      <c r="D374" s="51" t="n">
        <v>3504</v>
      </c>
      <c r="E374" s="52" t="n">
        <v>0.19</v>
      </c>
      <c r="F374" s="51" t="n">
        <f aca="false">+D374*(1+E374)</f>
        <v>4169.76</v>
      </c>
      <c r="G374" s="34" t="n">
        <f aca="false">+VLOOKUP(B374,[1]Hoja1!$C$8:$D$715,2,0)</f>
        <v>3504</v>
      </c>
      <c r="H374" s="34" t="e">
        <f aca="false">+VLOOKUP(A374,[1]Hoja1!$B$7:$D$715,3,0)</f>
        <v>#N/A</v>
      </c>
      <c r="I374" s="34" t="n">
        <v>3504</v>
      </c>
    </row>
    <row r="375" customFormat="false" ht="16.5" hidden="false" customHeight="false" outlineLevel="0" collapsed="false">
      <c r="A375" s="49" t="s">
        <v>810</v>
      </c>
      <c r="B375" s="50" t="s">
        <v>811</v>
      </c>
      <c r="C375" s="50" t="s">
        <v>9</v>
      </c>
      <c r="D375" s="51" t="n">
        <v>5697</v>
      </c>
      <c r="E375" s="52" t="n">
        <v>0.19</v>
      </c>
      <c r="F375" s="51" t="n">
        <f aca="false">+D375*(1+E375)</f>
        <v>6779.43</v>
      </c>
      <c r="G375" s="34" t="n">
        <f aca="false">+VLOOKUP(B375,[1]Hoja1!$C$8:$D$715,2,0)</f>
        <v>5697</v>
      </c>
      <c r="H375" s="34" t="e">
        <f aca="false">+VLOOKUP(A375,[1]Hoja1!$B$7:$D$715,3,0)</f>
        <v>#N/A</v>
      </c>
      <c r="I375" s="34" t="n">
        <v>5697</v>
      </c>
    </row>
    <row r="376" customFormat="false" ht="16.5" hidden="false" customHeight="false" outlineLevel="0" collapsed="false">
      <c r="A376" s="49" t="s">
        <v>812</v>
      </c>
      <c r="B376" s="50" t="s">
        <v>813</v>
      </c>
      <c r="C376" s="50" t="s">
        <v>9</v>
      </c>
      <c r="D376" s="51" t="n">
        <v>765</v>
      </c>
      <c r="E376" s="52" t="n">
        <v>0.19</v>
      </c>
      <c r="F376" s="51" t="n">
        <f aca="false">+D376*(1+E376)</f>
        <v>910.35</v>
      </c>
      <c r="G376" s="34" t="n">
        <f aca="false">+VLOOKUP(B376,[1]Hoja1!$C$8:$D$715,2,0)</f>
        <v>765</v>
      </c>
      <c r="H376" s="34" t="e">
        <f aca="false">+VLOOKUP(A376,[1]Hoja1!$B$7:$D$715,3,0)</f>
        <v>#N/A</v>
      </c>
      <c r="I376" s="34" t="n">
        <v>765</v>
      </c>
    </row>
    <row r="377" customFormat="false" ht="16.5" hidden="false" customHeight="false" outlineLevel="0" collapsed="false">
      <c r="A377" s="49" t="s">
        <v>814</v>
      </c>
      <c r="B377" s="50" t="s">
        <v>815</v>
      </c>
      <c r="C377" s="50" t="s">
        <v>9</v>
      </c>
      <c r="D377" s="51" t="n">
        <v>5277</v>
      </c>
      <c r="E377" s="52" t="n">
        <v>0.19</v>
      </c>
      <c r="F377" s="51" t="n">
        <f aca="false">+D377*(1+E377)</f>
        <v>6279.63</v>
      </c>
      <c r="G377" s="34" t="n">
        <f aca="false">+VLOOKUP(B377,[1]Hoja1!$C$8:$D$715,2,0)</f>
        <v>5277</v>
      </c>
      <c r="H377" s="34" t="e">
        <f aca="false">+VLOOKUP(A377,[1]Hoja1!$B$7:$D$715,3,0)</f>
        <v>#N/A</v>
      </c>
      <c r="I377" s="34" t="n">
        <v>5277</v>
      </c>
    </row>
    <row r="378" customFormat="false" ht="16.5" hidden="false" customHeight="false" outlineLevel="0" collapsed="false">
      <c r="A378" s="49" t="s">
        <v>816</v>
      </c>
      <c r="B378" s="50" t="s">
        <v>817</v>
      </c>
      <c r="C378" s="50" t="s">
        <v>9</v>
      </c>
      <c r="D378" s="51" t="n">
        <v>3336</v>
      </c>
      <c r="E378" s="52" t="n">
        <v>0.19</v>
      </c>
      <c r="F378" s="51" t="n">
        <f aca="false">+D378*(1+E378)</f>
        <v>3969.84</v>
      </c>
      <c r="G378" s="34" t="n">
        <f aca="false">+VLOOKUP(B378,[1]Hoja1!$C$8:$D$715,2,0)</f>
        <v>3336</v>
      </c>
      <c r="H378" s="34" t="e">
        <f aca="false">+VLOOKUP(A378,[1]Hoja1!$B$7:$D$715,3,0)</f>
        <v>#N/A</v>
      </c>
      <c r="I378" s="34" t="n">
        <v>3336</v>
      </c>
    </row>
    <row r="379" customFormat="false" ht="16.5" hidden="false" customHeight="false" outlineLevel="0" collapsed="false">
      <c r="A379" s="49" t="s">
        <v>818</v>
      </c>
      <c r="B379" s="50" t="s">
        <v>819</v>
      </c>
      <c r="C379" s="50" t="s">
        <v>9</v>
      </c>
      <c r="D379" s="51" t="n">
        <v>1303</v>
      </c>
      <c r="E379" s="52" t="n">
        <v>0.19</v>
      </c>
      <c r="F379" s="51" t="n">
        <f aca="false">+D379*(1+E379)</f>
        <v>1550.57</v>
      </c>
      <c r="G379" s="34" t="n">
        <f aca="false">+VLOOKUP(B379,[1]Hoja1!$C$8:$D$715,2,0)</f>
        <v>1303</v>
      </c>
      <c r="H379" s="34" t="e">
        <f aca="false">+VLOOKUP(A379,[1]Hoja1!$B$7:$D$715,3,0)</f>
        <v>#N/A</v>
      </c>
      <c r="I379" s="34" t="n">
        <v>1303</v>
      </c>
    </row>
    <row r="380" customFormat="false" ht="16.5" hidden="false" customHeight="false" outlineLevel="0" collapsed="false">
      <c r="A380" s="49" t="s">
        <v>820</v>
      </c>
      <c r="B380" s="50" t="s">
        <v>821</v>
      </c>
      <c r="C380" s="50" t="s">
        <v>9</v>
      </c>
      <c r="D380" s="51" t="n">
        <v>5681</v>
      </c>
      <c r="E380" s="52" t="n">
        <v>0.19</v>
      </c>
      <c r="F380" s="51" t="n">
        <f aca="false">+D380*(1+E380)</f>
        <v>6760.39</v>
      </c>
      <c r="G380" s="34" t="n">
        <f aca="false">+VLOOKUP(B380,[1]Hoja1!$C$8:$D$715,2,0)</f>
        <v>5681</v>
      </c>
      <c r="H380" s="34" t="e">
        <f aca="false">+VLOOKUP(A380,[1]Hoja1!$B$7:$D$715,3,0)</f>
        <v>#N/A</v>
      </c>
      <c r="I380" s="34" t="n">
        <v>5681</v>
      </c>
    </row>
    <row r="381" customFormat="false" ht="16.5" hidden="false" customHeight="false" outlineLevel="0" collapsed="false">
      <c r="A381" s="49" t="s">
        <v>822</v>
      </c>
      <c r="B381" s="50" t="s">
        <v>823</v>
      </c>
      <c r="C381" s="50" t="s">
        <v>9</v>
      </c>
      <c r="D381" s="51" t="n">
        <v>5773</v>
      </c>
      <c r="E381" s="52" t="n">
        <v>0.19</v>
      </c>
      <c r="F381" s="51" t="n">
        <f aca="false">+D381*(1+E381)</f>
        <v>6869.87</v>
      </c>
      <c r="G381" s="34" t="n">
        <f aca="false">+VLOOKUP(B381,[1]Hoja1!$C$8:$D$715,2,0)</f>
        <v>5773</v>
      </c>
      <c r="H381" s="34" t="e">
        <f aca="false">+VLOOKUP(A381,[1]Hoja1!$B$7:$D$715,3,0)</f>
        <v>#N/A</v>
      </c>
      <c r="I381" s="34" t="n">
        <v>5773</v>
      </c>
    </row>
    <row r="382" customFormat="false" ht="16.5" hidden="false" customHeight="false" outlineLevel="0" collapsed="false">
      <c r="A382" s="49" t="s">
        <v>824</v>
      </c>
      <c r="B382" s="50" t="s">
        <v>825</v>
      </c>
      <c r="C382" s="50" t="s">
        <v>9</v>
      </c>
      <c r="D382" s="51" t="n">
        <v>6126</v>
      </c>
      <c r="E382" s="52" t="n">
        <v>0.19</v>
      </c>
      <c r="F382" s="51" t="n">
        <f aca="false">+D382*(1+E382)</f>
        <v>7289.94</v>
      </c>
      <c r="G382" s="34" t="n">
        <f aca="false">+VLOOKUP(B382,[1]Hoja1!$C$8:$D$715,2,0)</f>
        <v>6126</v>
      </c>
      <c r="H382" s="34" t="e">
        <f aca="false">+VLOOKUP(A382,[1]Hoja1!$B$7:$D$715,3,0)</f>
        <v>#N/A</v>
      </c>
      <c r="I382" s="34" t="n">
        <v>6126</v>
      </c>
    </row>
    <row r="383" customFormat="false" ht="16.5" hidden="false" customHeight="false" outlineLevel="0" collapsed="false">
      <c r="A383" s="49" t="s">
        <v>826</v>
      </c>
      <c r="B383" s="50" t="s">
        <v>827</v>
      </c>
      <c r="C383" s="50" t="s">
        <v>9</v>
      </c>
      <c r="D383" s="51" t="n">
        <v>588</v>
      </c>
      <c r="E383" s="52" t="n">
        <v>0.19</v>
      </c>
      <c r="F383" s="51" t="n">
        <f aca="false">+D383*(1+E383)</f>
        <v>699.72</v>
      </c>
      <c r="G383" s="34" t="n">
        <f aca="false">+VLOOKUP(B383,[1]Hoja1!$C$8:$D$715,2,0)</f>
        <v>588</v>
      </c>
      <c r="H383" s="34" t="e">
        <f aca="false">+VLOOKUP(A383,[1]Hoja1!$B$7:$D$715,3,0)</f>
        <v>#N/A</v>
      </c>
      <c r="I383" s="34" t="n">
        <v>588</v>
      </c>
    </row>
    <row r="384" customFormat="false" ht="16.5" hidden="false" customHeight="false" outlineLevel="0" collapsed="false">
      <c r="A384" s="49" t="s">
        <v>828</v>
      </c>
      <c r="B384" s="50" t="s">
        <v>829</v>
      </c>
      <c r="C384" s="50" t="s">
        <v>171</v>
      </c>
      <c r="D384" s="51" t="n">
        <v>857</v>
      </c>
      <c r="E384" s="52" t="n">
        <v>0.19</v>
      </c>
      <c r="F384" s="51" t="n">
        <f aca="false">+D384*(1+E384)</f>
        <v>1019.83</v>
      </c>
      <c r="G384" s="34" t="n">
        <f aca="false">+VLOOKUP(B384,[1]Hoja1!$C$8:$D$715,2,0)</f>
        <v>857</v>
      </c>
      <c r="H384" s="34" t="e">
        <f aca="false">+VLOOKUP(A384,[1]Hoja1!$B$7:$D$715,3,0)</f>
        <v>#N/A</v>
      </c>
      <c r="I384" s="34" t="n">
        <v>857</v>
      </c>
    </row>
    <row r="385" customFormat="false" ht="16.5" hidden="false" customHeight="false" outlineLevel="0" collapsed="false">
      <c r="A385" s="49" t="s">
        <v>830</v>
      </c>
      <c r="B385" s="50" t="s">
        <v>831</v>
      </c>
      <c r="C385" s="50" t="s">
        <v>9</v>
      </c>
      <c r="D385" s="51" t="n">
        <v>10941</v>
      </c>
      <c r="E385" s="52" t="n">
        <v>0.19</v>
      </c>
      <c r="F385" s="51" t="n">
        <f aca="false">+D385*(1+E385)</f>
        <v>13019.79</v>
      </c>
      <c r="G385" s="34" t="n">
        <f aca="false">+VLOOKUP(B385,[1]Hoja1!$C$8:$D$715,2,0)</f>
        <v>10941</v>
      </c>
      <c r="H385" s="34" t="e">
        <f aca="false">+VLOOKUP(A385,[1]Hoja1!$B$7:$D$715,3,0)</f>
        <v>#N/A</v>
      </c>
      <c r="I385" s="34" t="n">
        <v>10941</v>
      </c>
    </row>
    <row r="386" customFormat="false" ht="16.5" hidden="false" customHeight="false" outlineLevel="0" collapsed="false">
      <c r="A386" s="49" t="s">
        <v>832</v>
      </c>
      <c r="B386" s="50" t="s">
        <v>833</v>
      </c>
      <c r="C386" s="50" t="s">
        <v>9</v>
      </c>
      <c r="D386" s="51" t="n">
        <v>1050</v>
      </c>
      <c r="E386" s="52" t="n">
        <v>0.19</v>
      </c>
      <c r="F386" s="51" t="n">
        <f aca="false">+D386*(1+E386)</f>
        <v>1249.5</v>
      </c>
      <c r="G386" s="34" t="n">
        <f aca="false">+VLOOKUP(B386,[1]Hoja1!$C$8:$D$715,2,0)</f>
        <v>1050</v>
      </c>
      <c r="H386" s="34" t="e">
        <f aca="false">+VLOOKUP(A386,[1]Hoja1!$B$7:$D$715,3,0)</f>
        <v>#N/A</v>
      </c>
      <c r="I386" s="34" t="n">
        <v>1050</v>
      </c>
    </row>
    <row r="387" customFormat="false" ht="16.5" hidden="false" customHeight="false" outlineLevel="0" collapsed="false">
      <c r="A387" s="49" t="s">
        <v>834</v>
      </c>
      <c r="B387" s="50" t="s">
        <v>835</v>
      </c>
      <c r="C387" s="50" t="s">
        <v>9</v>
      </c>
      <c r="D387" s="51" t="n">
        <v>6126</v>
      </c>
      <c r="E387" s="52" t="n">
        <v>0.19</v>
      </c>
      <c r="F387" s="51" t="n">
        <f aca="false">+D387*(1+E387)</f>
        <v>7289.94</v>
      </c>
      <c r="G387" s="34" t="n">
        <f aca="false">+VLOOKUP(B387,[1]Hoja1!$C$8:$D$715,2,0)</f>
        <v>6126</v>
      </c>
      <c r="H387" s="34" t="e">
        <f aca="false">+VLOOKUP(A387,[1]Hoja1!$B$7:$D$715,3,0)</f>
        <v>#N/A</v>
      </c>
      <c r="I387" s="34" t="n">
        <v>6126</v>
      </c>
    </row>
    <row r="388" customFormat="false" ht="16.5" hidden="false" customHeight="false" outlineLevel="0" collapsed="false">
      <c r="A388" s="49" t="s">
        <v>836</v>
      </c>
      <c r="B388" s="50" t="s">
        <v>837</v>
      </c>
      <c r="C388" s="50" t="s">
        <v>9</v>
      </c>
      <c r="D388" s="51" t="n">
        <v>5555</v>
      </c>
      <c r="E388" s="52" t="n">
        <v>0.19</v>
      </c>
      <c r="F388" s="51" t="n">
        <f aca="false">+D388*(1+E388)</f>
        <v>6610.45</v>
      </c>
      <c r="G388" s="34" t="e">
        <f aca="false">+VLOOKUP(B388,[1]Hoja1!$C$8:$D$715,2,0)</f>
        <v>#N/A</v>
      </c>
      <c r="H388" s="34" t="n">
        <f aca="false">+VLOOKUP(A388,[1]Hoja1!$B$7:$D$715,3,0)</f>
        <v>5773</v>
      </c>
      <c r="I388" s="34" t="e">
        <f aca="false">#N/A</f>
        <v>#N/A</v>
      </c>
    </row>
    <row r="389" customFormat="false" ht="16.5" hidden="false" customHeight="false" outlineLevel="0" collapsed="false">
      <c r="A389" s="49" t="s">
        <v>838</v>
      </c>
      <c r="B389" s="50" t="s">
        <v>839</v>
      </c>
      <c r="C389" s="50" t="s">
        <v>171</v>
      </c>
      <c r="D389" s="51" t="n">
        <v>3311</v>
      </c>
      <c r="E389" s="52" t="n">
        <v>0.19</v>
      </c>
      <c r="F389" s="51" t="n">
        <f aca="false">+D389*(1+E389)</f>
        <v>3940.09</v>
      </c>
      <c r="G389" s="34" t="n">
        <f aca="false">+VLOOKUP(B389,[1]Hoja1!$C$8:$D$715,2,0)</f>
        <v>3311</v>
      </c>
      <c r="H389" s="34" t="e">
        <f aca="false">+VLOOKUP(A389,[1]Hoja1!$B$7:$D$715,3,0)</f>
        <v>#N/A</v>
      </c>
      <c r="I389" s="34" t="n">
        <v>3311</v>
      </c>
    </row>
    <row r="390" customFormat="false" ht="16.5" hidden="false" customHeight="false" outlineLevel="0" collapsed="false">
      <c r="A390" s="49" t="s">
        <v>840</v>
      </c>
      <c r="B390" s="50" t="s">
        <v>841</v>
      </c>
      <c r="C390" s="50" t="s">
        <v>9</v>
      </c>
      <c r="D390" s="51" t="n">
        <v>1950</v>
      </c>
      <c r="E390" s="52" t="n">
        <v>0.19</v>
      </c>
      <c r="F390" s="51" t="n">
        <f aca="false">+D390*(1+E390)</f>
        <v>2320.5</v>
      </c>
      <c r="G390" s="34" t="n">
        <f aca="false">+VLOOKUP(B390,[1]Hoja1!$C$8:$D$715,2,0)</f>
        <v>1950</v>
      </c>
      <c r="H390" s="34" t="e">
        <f aca="false">+VLOOKUP(A390,[1]Hoja1!$B$7:$D$715,3,0)</f>
        <v>#N/A</v>
      </c>
      <c r="I390" s="34" t="n">
        <v>1950</v>
      </c>
    </row>
    <row r="391" customFormat="false" ht="16.5" hidden="false" customHeight="false" outlineLevel="0" collapsed="false">
      <c r="A391" s="49" t="s">
        <v>842</v>
      </c>
      <c r="B391" s="50" t="s">
        <v>843</v>
      </c>
      <c r="C391" s="50" t="s">
        <v>9</v>
      </c>
      <c r="D391" s="51" t="n">
        <v>3504</v>
      </c>
      <c r="E391" s="52" t="n">
        <v>0.19</v>
      </c>
      <c r="F391" s="51" t="n">
        <f aca="false">+D391*(1+E391)</f>
        <v>4169.76</v>
      </c>
      <c r="G391" s="34" t="n">
        <f aca="false">+VLOOKUP(B391,[1]Hoja1!$C$8:$D$715,2,0)</f>
        <v>3504</v>
      </c>
      <c r="H391" s="34" t="e">
        <f aca="false">+VLOOKUP(A391,[1]Hoja1!$B$7:$D$715,3,0)</f>
        <v>#N/A</v>
      </c>
      <c r="I391" s="34" t="n">
        <v>3504</v>
      </c>
    </row>
    <row r="392" customFormat="false" ht="15.75" hidden="false" customHeight="false" outlineLevel="0" collapsed="false">
      <c r="D392" s="78"/>
      <c r="H392" s="34" t="e">
        <f aca="false">+VLOOKUP(A392,[1]Hoja1!$B$7:$D$715,3,0)</f>
        <v>#N/A</v>
      </c>
    </row>
    <row r="393" customFormat="false" ht="19.5" hidden="false" customHeight="false" outlineLevel="0" collapsed="false">
      <c r="A393" s="81" t="s">
        <v>844</v>
      </c>
      <c r="B393" s="81"/>
      <c r="C393" s="81"/>
      <c r="D393" s="81"/>
      <c r="E393" s="81"/>
      <c r="H393" s="34" t="e">
        <f aca="false">+VLOOKUP(A393,[1]Hoja1!$B$7:$D$715,3,0)</f>
        <v>#N/A</v>
      </c>
    </row>
    <row r="394" customFormat="false" ht="31.5" hidden="false" customHeight="false" outlineLevel="0" collapsed="false">
      <c r="A394" s="44" t="s">
        <v>167</v>
      </c>
      <c r="B394" s="45" t="s">
        <v>168</v>
      </c>
      <c r="C394" s="45" t="s">
        <v>9</v>
      </c>
      <c r="D394" s="46" t="s">
        <v>10</v>
      </c>
      <c r="E394" s="47" t="s">
        <v>11</v>
      </c>
      <c r="F394" s="48" t="s">
        <v>169</v>
      </c>
      <c r="H394" s="34" t="e">
        <f aca="false">+VLOOKUP(A394,[1]Hoja1!$B$7:$D$715,3,0)</f>
        <v>#N/A</v>
      </c>
    </row>
    <row r="395" customFormat="false" ht="16.5" hidden="false" customHeight="false" outlineLevel="0" collapsed="false">
      <c r="A395" s="49" t="s">
        <v>845</v>
      </c>
      <c r="B395" s="50" t="s">
        <v>846</v>
      </c>
      <c r="C395" s="50" t="s">
        <v>9</v>
      </c>
      <c r="D395" s="51" t="n">
        <v>6983</v>
      </c>
      <c r="E395" s="52" t="n">
        <v>0.19</v>
      </c>
      <c r="F395" s="51" t="n">
        <f aca="false">+D395*(1+E395)</f>
        <v>8309.77</v>
      </c>
      <c r="G395" s="34" t="e">
        <f aca="false">+VLOOKUP(B395,[1]Hoja1!$C$8:$D$715,2,0)</f>
        <v>#N/A</v>
      </c>
      <c r="H395" s="34" t="e">
        <f aca="false">+VLOOKUP(A395,[1]Hoja1!$B$7:$D$715,3,0)</f>
        <v>#N/A</v>
      </c>
    </row>
    <row r="396" customFormat="false" ht="16.5" hidden="false" customHeight="false" outlineLevel="0" collapsed="false">
      <c r="A396" s="49" t="s">
        <v>847</v>
      </c>
      <c r="B396" s="50" t="s">
        <v>848</v>
      </c>
      <c r="C396" s="50" t="s">
        <v>9</v>
      </c>
      <c r="D396" s="51" t="n">
        <v>3697</v>
      </c>
      <c r="E396" s="52" t="n">
        <v>0.19</v>
      </c>
      <c r="F396" s="51" t="n">
        <f aca="false">+D396*(1+E396)</f>
        <v>4399.43</v>
      </c>
      <c r="G396" s="34" t="e">
        <f aca="false">+VLOOKUP(B396,[1]Hoja1!$C$8:$D$715,2,0)</f>
        <v>#N/A</v>
      </c>
      <c r="H396" s="34" t="e">
        <f aca="false">+VLOOKUP(A396,[1]Hoja1!$B$7:$D$715,3,0)</f>
        <v>#N/A</v>
      </c>
    </row>
    <row r="397" customFormat="false" ht="16.5" hidden="false" customHeight="false" outlineLevel="0" collapsed="false">
      <c r="A397" s="49" t="s">
        <v>849</v>
      </c>
      <c r="B397" s="50" t="s">
        <v>850</v>
      </c>
      <c r="C397" s="50" t="s">
        <v>171</v>
      </c>
      <c r="D397" s="51" t="n">
        <v>5840</v>
      </c>
      <c r="E397" s="52" t="n">
        <v>0.19</v>
      </c>
      <c r="F397" s="51" t="n">
        <f aca="false">+D397*(1+E397)</f>
        <v>6949.6</v>
      </c>
      <c r="G397" s="34" t="e">
        <f aca="false">+VLOOKUP(B397,[1]Hoja1!$C$8:$D$715,2,0)</f>
        <v>#N/A</v>
      </c>
      <c r="H397" s="34" t="e">
        <f aca="false">+VLOOKUP(A397,[1]Hoja1!$B$7:$D$715,3,0)</f>
        <v>#N/A</v>
      </c>
    </row>
    <row r="398" customFormat="false" ht="16.5" hidden="false" customHeight="false" outlineLevel="0" collapsed="false">
      <c r="A398" s="49" t="s">
        <v>851</v>
      </c>
      <c r="B398" s="50" t="s">
        <v>852</v>
      </c>
      <c r="C398" s="50" t="s">
        <v>9</v>
      </c>
      <c r="D398" s="51" t="n">
        <v>5294</v>
      </c>
      <c r="E398" s="52" t="n">
        <v>0.19</v>
      </c>
      <c r="F398" s="51" t="n">
        <f aca="false">+D398*(1+E398)</f>
        <v>6299.86</v>
      </c>
      <c r="G398" s="34" t="e">
        <f aca="false">+VLOOKUP(B398,[1]Hoja1!$C$8:$D$715,2,0)</f>
        <v>#N/A</v>
      </c>
      <c r="H398" s="34" t="e">
        <f aca="false">+VLOOKUP(A398,[1]Hoja1!$B$7:$D$715,3,0)</f>
        <v>#N/A</v>
      </c>
    </row>
    <row r="399" customFormat="false" ht="16.5" hidden="false" customHeight="false" outlineLevel="0" collapsed="false">
      <c r="A399" s="49" t="s">
        <v>853</v>
      </c>
      <c r="B399" s="50" t="s">
        <v>854</v>
      </c>
      <c r="C399" s="50" t="s">
        <v>9</v>
      </c>
      <c r="D399" s="51" t="n">
        <v>2992</v>
      </c>
      <c r="E399" s="52" t="n">
        <v>0.19</v>
      </c>
      <c r="F399" s="51" t="n">
        <f aca="false">+D399*(1+E399)</f>
        <v>3560.48</v>
      </c>
      <c r="G399" s="34" t="e">
        <f aca="false">+VLOOKUP(B399,[1]Hoja1!$C$8:$D$715,2,0)</f>
        <v>#N/A</v>
      </c>
      <c r="H399" s="34" t="e">
        <f aca="false">+VLOOKUP(A399,[1]Hoja1!$B$7:$D$715,3,0)</f>
        <v>#N/A</v>
      </c>
    </row>
    <row r="400" customFormat="false" ht="20.25" hidden="false" customHeight="false" outlineLevel="0" collapsed="false">
      <c r="A400" s="43" t="s">
        <v>855</v>
      </c>
      <c r="B400" s="43"/>
      <c r="C400" s="43"/>
      <c r="D400" s="43"/>
      <c r="E400" s="43"/>
      <c r="H400" s="34" t="e">
        <f aca="false">+VLOOKUP(A400,[1]Hoja1!$B$7:$D$715,3,0)</f>
        <v>#N/A</v>
      </c>
    </row>
    <row r="401" customFormat="false" ht="31.5" hidden="false" customHeight="false" outlineLevel="0" collapsed="false">
      <c r="A401" s="44" t="s">
        <v>167</v>
      </c>
      <c r="B401" s="45" t="s">
        <v>168</v>
      </c>
      <c r="C401" s="45" t="s">
        <v>9</v>
      </c>
      <c r="D401" s="46" t="s">
        <v>10</v>
      </c>
      <c r="E401" s="47" t="s">
        <v>11</v>
      </c>
      <c r="F401" s="48" t="s">
        <v>169</v>
      </c>
      <c r="H401" s="34" t="e">
        <f aca="false">+VLOOKUP(A401,[1]Hoja1!$B$7:$D$715,3,0)</f>
        <v>#N/A</v>
      </c>
    </row>
    <row r="402" customFormat="false" ht="16.5" hidden="false" customHeight="false" outlineLevel="0" collapsed="false">
      <c r="A402" s="49" t="s">
        <v>856</v>
      </c>
      <c r="B402" s="50" t="s">
        <v>857</v>
      </c>
      <c r="C402" s="50" t="s">
        <v>350</v>
      </c>
      <c r="D402" s="51" t="n">
        <v>16120</v>
      </c>
      <c r="E402" s="52" t="n">
        <v>0</v>
      </c>
      <c r="F402" s="51" t="n">
        <f aca="false">+D402*(1+E402)</f>
        <v>16120</v>
      </c>
      <c r="G402" s="34" t="e">
        <f aca="false">+VLOOKUP(B402,[1]Hoja1!$C$8:$D$715,2,0)</f>
        <v>#N/A</v>
      </c>
      <c r="H402" s="34" t="e">
        <f aca="false">+VLOOKUP(A402,[1]Hoja1!$B$7:$D$715,3,0)</f>
        <v>#N/A</v>
      </c>
    </row>
    <row r="403" customFormat="false" ht="15.75" hidden="false" customHeight="false" outlineLevel="0" collapsed="false">
      <c r="A403" s="82"/>
      <c r="B403" s="83"/>
      <c r="C403" s="83"/>
      <c r="D403" s="78"/>
      <c r="E403" s="84"/>
      <c r="F403" s="85"/>
      <c r="H403" s="34" t="e">
        <f aca="false">+VLOOKUP(A403,[1]Hoja1!$B$7:$D$715,3,0)</f>
        <v>#N/A</v>
      </c>
    </row>
    <row r="404" customFormat="false" ht="19.5" hidden="false" customHeight="false" outlineLevel="0" collapsed="false">
      <c r="A404" s="69" t="s">
        <v>858</v>
      </c>
      <c r="B404" s="69"/>
      <c r="C404" s="69"/>
      <c r="D404" s="69"/>
      <c r="E404" s="69"/>
      <c r="F404" s="69" t="n">
        <f aca="false">+D404*(1+E404)</f>
        <v>0</v>
      </c>
      <c r="H404" s="34" t="e">
        <f aca="false">+VLOOKUP(A404,[1]Hoja1!$B$7:$D$715,3,0)</f>
        <v>#N/A</v>
      </c>
    </row>
    <row r="405" customFormat="false" ht="31.5" hidden="false" customHeight="false" outlineLevel="0" collapsed="false">
      <c r="A405" s="44" t="s">
        <v>167</v>
      </c>
      <c r="B405" s="45" t="s">
        <v>168</v>
      </c>
      <c r="C405" s="45" t="s">
        <v>9</v>
      </c>
      <c r="D405" s="46" t="s">
        <v>10</v>
      </c>
      <c r="E405" s="47" t="s">
        <v>11</v>
      </c>
      <c r="F405" s="48" t="s">
        <v>169</v>
      </c>
      <c r="H405" s="34" t="e">
        <f aca="false">+VLOOKUP(A405,[1]Hoja1!$B$7:$D$715,3,0)</f>
        <v>#N/A</v>
      </c>
    </row>
    <row r="406" customFormat="false" ht="15" hidden="true" customHeight="false" outlineLevel="0" collapsed="false">
      <c r="A406" s="86" t="s">
        <v>859</v>
      </c>
      <c r="B406" s="87" t="s">
        <v>860</v>
      </c>
      <c r="C406" s="87" t="s">
        <v>9</v>
      </c>
      <c r="D406" s="88" t="n">
        <v>6360</v>
      </c>
      <c r="E406" s="89" t="n">
        <v>0</v>
      </c>
      <c r="F406" s="88" t="n">
        <f aca="false">+D406*(1+E406)</f>
        <v>6360</v>
      </c>
      <c r="H406" s="34" t="e">
        <f aca="false">+VLOOKUP(A406,[1]Hoja1!$B$7:$D$715,3,0)</f>
        <v>#N/A</v>
      </c>
    </row>
    <row r="407" customFormat="false" ht="16.5" hidden="false" customHeight="false" outlineLevel="0" collapsed="false">
      <c r="A407" s="49" t="s">
        <v>861</v>
      </c>
      <c r="B407" s="50" t="s">
        <v>862</v>
      </c>
      <c r="C407" s="50" t="s">
        <v>14</v>
      </c>
      <c r="D407" s="51" t="n">
        <v>72800</v>
      </c>
      <c r="E407" s="52" t="n">
        <v>0</v>
      </c>
      <c r="F407" s="51" t="n">
        <f aca="false">+D407*(1+E407)</f>
        <v>72800</v>
      </c>
      <c r="G407" s="34" t="e">
        <f aca="false">+VLOOKUP(B407,[1]Hoja1!$C$8:$D$715,2,0)</f>
        <v>#N/A</v>
      </c>
      <c r="H407" s="34" t="e">
        <f aca="false">+VLOOKUP(A407,[1]Hoja1!$B$7:$D$715,3,0)</f>
        <v>#N/A</v>
      </c>
    </row>
    <row r="408" customFormat="false" ht="16.5" hidden="false" customHeight="false" outlineLevel="0" collapsed="false">
      <c r="A408" s="49" t="s">
        <v>863</v>
      </c>
      <c r="B408" s="50" t="s">
        <v>864</v>
      </c>
      <c r="C408" s="50" t="s">
        <v>9</v>
      </c>
      <c r="D408" s="51" t="n">
        <v>2190</v>
      </c>
      <c r="E408" s="52" t="n">
        <v>0</v>
      </c>
      <c r="F408" s="51" t="n">
        <f aca="false">+D408*(1+E408)</f>
        <v>2190</v>
      </c>
      <c r="G408" s="34" t="e">
        <f aca="false">+VLOOKUP(B408,[1]Hoja1!$C$8:$D$715,2,0)</f>
        <v>#N/A</v>
      </c>
      <c r="H408" s="34" t="e">
        <f aca="false">+VLOOKUP(A408,[1]Hoja1!$B$7:$D$715,3,0)</f>
        <v>#N/A</v>
      </c>
    </row>
    <row r="409" customFormat="false" ht="16.5" hidden="false" customHeight="false" outlineLevel="0" collapsed="false">
      <c r="A409" s="49" t="s">
        <v>865</v>
      </c>
      <c r="B409" s="50" t="s">
        <v>866</v>
      </c>
      <c r="C409" s="50" t="s">
        <v>9</v>
      </c>
      <c r="D409" s="51" t="n">
        <v>5330</v>
      </c>
      <c r="E409" s="52" t="n">
        <v>0</v>
      </c>
      <c r="F409" s="51" t="n">
        <f aca="false">+D409*(1+E409)</f>
        <v>5330</v>
      </c>
      <c r="G409" s="34" t="e">
        <f aca="false">+VLOOKUP(B409,[1]Hoja1!$C$8:$D$715,2,0)</f>
        <v>#N/A</v>
      </c>
      <c r="H409" s="34" t="e">
        <f aca="false">+VLOOKUP(A409,[1]Hoja1!$B$7:$D$715,3,0)</f>
        <v>#N/A</v>
      </c>
    </row>
    <row r="410" customFormat="false" ht="13.8" hidden="false" customHeight="false" outlineLevel="0" collapsed="false">
      <c r="A410" s="49" t="s">
        <v>867</v>
      </c>
      <c r="B410" s="50" t="s">
        <v>868</v>
      </c>
      <c r="C410" s="50" t="s">
        <v>9</v>
      </c>
      <c r="D410" s="51" t="n">
        <v>16650</v>
      </c>
      <c r="E410" s="52" t="n">
        <v>0</v>
      </c>
      <c r="F410" s="51" t="n">
        <f aca="false">+D410*(1+E410)</f>
        <v>16650</v>
      </c>
      <c r="G410" s="34" t="e">
        <f aca="false">+VLOOKUP(B410,[1]Hoja1!$C$8:$D$715,2,0)</f>
        <v>#N/A</v>
      </c>
      <c r="H410" s="34" t="e">
        <f aca="false">+VLOOKUP(A410,[1]Hoja1!$B$7:$D$715,3,0)</f>
        <v>#N/A</v>
      </c>
    </row>
    <row r="411" customFormat="false" ht="13.8" hidden="false" customHeight="false" outlineLevel="0" collapsed="false">
      <c r="A411" s="49" t="s">
        <v>859</v>
      </c>
      <c r="B411" s="50" t="s">
        <v>860</v>
      </c>
      <c r="C411" s="50" t="s">
        <v>9</v>
      </c>
      <c r="D411" s="51" t="n">
        <v>6680</v>
      </c>
      <c r="E411" s="52" t="n">
        <v>0</v>
      </c>
      <c r="F411" s="51" t="n">
        <f aca="false">+D411*(1+E411)</f>
        <v>6680</v>
      </c>
    </row>
    <row r="412" customFormat="false" ht="15.75" hidden="false" customHeight="false" outlineLevel="0" collapsed="false">
      <c r="H412" s="34" t="e">
        <f aca="false">+VLOOKUP(A412,[1]Hoja1!$B$7:$D$715,3,0)</f>
        <v>#N/A</v>
      </c>
    </row>
    <row r="413" customFormat="false" ht="15" hidden="false" customHeight="false" outlineLevel="0" collapsed="false">
      <c r="H413" s="34" t="e">
        <f aca="false">+VLOOKUP(A413,[1]Hoja1!$B$7:$D$715,3,0)</f>
        <v>#N/A</v>
      </c>
    </row>
    <row r="414" customFormat="false" ht="19.5" hidden="false" customHeight="false" outlineLevel="0" collapsed="false">
      <c r="A414" s="69" t="s">
        <v>869</v>
      </c>
      <c r="B414" s="69"/>
      <c r="C414" s="69"/>
      <c r="D414" s="69"/>
      <c r="E414" s="69"/>
      <c r="F414" s="69" t="n">
        <f aca="false">+D414*(1+E414)</f>
        <v>0</v>
      </c>
      <c r="H414" s="34" t="e">
        <f aca="false">+VLOOKUP(A414,[1]Hoja1!$B$7:$D$715,3,0)</f>
        <v>#N/A</v>
      </c>
    </row>
    <row r="415" customFormat="false" ht="31.5" hidden="false" customHeight="false" outlineLevel="0" collapsed="false">
      <c r="A415" s="44" t="s">
        <v>167</v>
      </c>
      <c r="B415" s="45" t="s">
        <v>168</v>
      </c>
      <c r="C415" s="45" t="s">
        <v>9</v>
      </c>
      <c r="D415" s="46" t="s">
        <v>10</v>
      </c>
      <c r="E415" s="47" t="s">
        <v>11</v>
      </c>
      <c r="F415" s="48" t="s">
        <v>169</v>
      </c>
      <c r="H415" s="34" t="e">
        <f aca="false">+VLOOKUP(A415,[1]Hoja1!$B$7:$D$715,3,0)</f>
        <v>#N/A</v>
      </c>
    </row>
    <row r="416" customFormat="false" ht="16.5" hidden="false" customHeight="false" outlineLevel="0" collapsed="false">
      <c r="A416" s="49" t="s">
        <v>870</v>
      </c>
      <c r="B416" s="50" t="s">
        <v>871</v>
      </c>
      <c r="C416" s="50" t="s">
        <v>9</v>
      </c>
      <c r="D416" s="51" t="n">
        <v>5218</v>
      </c>
      <c r="E416" s="52" t="n">
        <v>0.19</v>
      </c>
      <c r="F416" s="51" t="n">
        <f aca="false">+D416*(1+E416)</f>
        <v>6209.42</v>
      </c>
      <c r="G416" s="34" t="e">
        <f aca="false">+VLOOKUP(B416,[1]Hoja1!$C$8:$D$715,2,0)</f>
        <v>#N/A</v>
      </c>
      <c r="H416" s="34" t="e">
        <f aca="false">+VLOOKUP(A416,[1]Hoja1!$B$7:$D$715,3,0)</f>
        <v>#N/A</v>
      </c>
      <c r="I416" s="34" t="e">
        <f aca="false">#N/A</f>
        <v>#N/A</v>
      </c>
    </row>
    <row r="417" customFormat="false" ht="16.5" hidden="false" customHeight="false" outlineLevel="0" collapsed="false">
      <c r="A417" s="49" t="s">
        <v>872</v>
      </c>
      <c r="B417" s="50" t="s">
        <v>873</v>
      </c>
      <c r="C417" s="50" t="s">
        <v>9</v>
      </c>
      <c r="D417" s="51" t="n">
        <v>2570</v>
      </c>
      <c r="E417" s="52" t="n">
        <v>0</v>
      </c>
      <c r="F417" s="51" t="n">
        <f aca="false">+D417*(1+E417)</f>
        <v>2570</v>
      </c>
      <c r="G417" s="34" t="n">
        <f aca="false">+VLOOKUP(B417,[1]Hoja1!$C$8:$D$715,2,0)</f>
        <v>2570</v>
      </c>
      <c r="H417" s="34" t="e">
        <f aca="false">+VLOOKUP(A417,[1]Hoja1!$B$7:$D$715,3,0)</f>
        <v>#N/A</v>
      </c>
      <c r="I417" s="34" t="n">
        <v>2570</v>
      </c>
    </row>
    <row r="418" customFormat="false" ht="16.5" hidden="false" customHeight="false" outlineLevel="0" collapsed="false">
      <c r="A418" s="49" t="s">
        <v>874</v>
      </c>
      <c r="B418" s="50" t="s">
        <v>875</v>
      </c>
      <c r="C418" s="50" t="s">
        <v>9</v>
      </c>
      <c r="D418" s="51" t="n">
        <v>2570</v>
      </c>
      <c r="E418" s="52" t="n">
        <v>0</v>
      </c>
      <c r="F418" s="51" t="n">
        <f aca="false">+D418*(1+E418)</f>
        <v>2570</v>
      </c>
      <c r="G418" s="34" t="n">
        <f aca="false">+VLOOKUP(B418,[1]Hoja1!$C$8:$D$715,2,0)</f>
        <v>2570</v>
      </c>
      <c r="H418" s="34" t="e">
        <f aca="false">+VLOOKUP(A418,[1]Hoja1!$B$7:$D$715,3,0)</f>
        <v>#N/A</v>
      </c>
      <c r="I418" s="34" t="n">
        <v>2570</v>
      </c>
    </row>
    <row r="419" customFormat="false" ht="16.5" hidden="false" customHeight="false" outlineLevel="0" collapsed="false">
      <c r="A419" s="49" t="s">
        <v>876</v>
      </c>
      <c r="B419" s="50" t="s">
        <v>877</v>
      </c>
      <c r="C419" s="50" t="s">
        <v>9</v>
      </c>
      <c r="D419" s="51" t="n">
        <v>2570</v>
      </c>
      <c r="E419" s="52" t="n">
        <v>0</v>
      </c>
      <c r="F419" s="51" t="n">
        <f aca="false">+D419*(1+E419)</f>
        <v>2570</v>
      </c>
      <c r="G419" s="34" t="n">
        <f aca="false">+VLOOKUP(B419,[1]Hoja1!$C$8:$D$715,2,0)</f>
        <v>2570</v>
      </c>
      <c r="H419" s="34" t="e">
        <f aca="false">+VLOOKUP(A419,[1]Hoja1!$B$7:$D$715,3,0)</f>
        <v>#N/A</v>
      </c>
      <c r="I419" s="34" t="n">
        <v>2570</v>
      </c>
    </row>
    <row r="420" customFormat="false" ht="16.5" hidden="false" customHeight="false" outlineLevel="0" collapsed="false">
      <c r="A420" s="49" t="s">
        <v>878</v>
      </c>
      <c r="B420" s="50" t="s">
        <v>879</v>
      </c>
      <c r="C420" s="50" t="s">
        <v>9</v>
      </c>
      <c r="D420" s="51" t="n">
        <v>6870</v>
      </c>
      <c r="E420" s="52" t="n">
        <v>0</v>
      </c>
      <c r="F420" s="51" t="n">
        <f aca="false">+D420*(1+E420)</f>
        <v>6870</v>
      </c>
      <c r="G420" s="34" t="n">
        <f aca="false">+VLOOKUP(B420,[1]Hoja1!$C$8:$D$715,2,0)</f>
        <v>6870</v>
      </c>
      <c r="H420" s="34" t="e">
        <f aca="false">+VLOOKUP(A420,[1]Hoja1!$B$7:$D$715,3,0)</f>
        <v>#N/A</v>
      </c>
      <c r="I420" s="34" t="n">
        <v>6870</v>
      </c>
    </row>
    <row r="421" customFormat="false" ht="16.5" hidden="false" customHeight="false" outlineLevel="0" collapsed="false">
      <c r="A421" s="49" t="s">
        <v>880</v>
      </c>
      <c r="B421" s="50" t="s">
        <v>881</v>
      </c>
      <c r="C421" s="50" t="s">
        <v>9</v>
      </c>
      <c r="D421" s="51" t="n">
        <v>4620</v>
      </c>
      <c r="E421" s="52" t="n">
        <v>0</v>
      </c>
      <c r="F421" s="51" t="n">
        <f aca="false">+D421*(1+E421)</f>
        <v>4620</v>
      </c>
      <c r="G421" s="34" t="e">
        <f aca="false">+VLOOKUP(B421,[1]Hoja1!$C$8:$D$715,2,0)</f>
        <v>#N/A</v>
      </c>
      <c r="H421" s="34" t="e">
        <f aca="false">+VLOOKUP(A421,[1]Hoja1!$B$7:$D$715,3,0)</f>
        <v>#N/A</v>
      </c>
      <c r="I421" s="34" t="e">
        <f aca="false">#N/A</f>
        <v>#N/A</v>
      </c>
    </row>
    <row r="422" customFormat="false" ht="16.5" hidden="false" customHeight="false" outlineLevel="0" collapsed="false">
      <c r="A422" s="49" t="s">
        <v>882</v>
      </c>
      <c r="B422" s="50" t="s">
        <v>883</v>
      </c>
      <c r="C422" s="50" t="s">
        <v>9</v>
      </c>
      <c r="D422" s="51" t="n">
        <v>4620</v>
      </c>
      <c r="E422" s="52" t="n">
        <v>0</v>
      </c>
      <c r="F422" s="51" t="n">
        <f aca="false">+D422*(1+E422)</f>
        <v>4620</v>
      </c>
      <c r="G422" s="34" t="e">
        <f aca="false">+VLOOKUP(B422,[1]Hoja1!$C$8:$D$715,2,0)</f>
        <v>#N/A</v>
      </c>
      <c r="H422" s="34" t="e">
        <f aca="false">+VLOOKUP(A422,[1]Hoja1!$B$7:$D$715,3,0)</f>
        <v>#N/A</v>
      </c>
      <c r="I422" s="34" t="e">
        <f aca="false">#N/A</f>
        <v>#N/A</v>
      </c>
    </row>
    <row r="423" customFormat="false" ht="16.5" hidden="false" customHeight="false" outlineLevel="0" collapsed="false">
      <c r="A423" s="49" t="s">
        <v>884</v>
      </c>
      <c r="B423" s="50" t="s">
        <v>885</v>
      </c>
      <c r="C423" s="50" t="s">
        <v>9</v>
      </c>
      <c r="D423" s="51" t="n">
        <v>1122</v>
      </c>
      <c r="E423" s="52" t="n">
        <v>0.19</v>
      </c>
      <c r="F423" s="51" t="n">
        <f aca="false">+D423*(1+E423)</f>
        <v>1335.18</v>
      </c>
      <c r="G423" s="34" t="n">
        <f aca="false">+VLOOKUP(B423,[1]Hoja1!$C$8:$D$715,2,0)</f>
        <v>1122</v>
      </c>
      <c r="H423" s="34" t="e">
        <f aca="false">+VLOOKUP(A423,[1]Hoja1!$B$7:$D$715,3,0)</f>
        <v>#N/A</v>
      </c>
      <c r="I423" s="34" t="n">
        <v>1122</v>
      </c>
    </row>
    <row r="424" customFormat="false" ht="16.5" hidden="false" customHeight="false" outlineLevel="0" collapsed="false">
      <c r="A424" s="49" t="s">
        <v>886</v>
      </c>
      <c r="B424" s="50" t="s">
        <v>887</v>
      </c>
      <c r="C424" s="50" t="s">
        <v>9</v>
      </c>
      <c r="D424" s="51" t="n">
        <v>1122</v>
      </c>
      <c r="E424" s="52" t="n">
        <v>0.19</v>
      </c>
      <c r="F424" s="51" t="n">
        <f aca="false">+D424*(1+E424)</f>
        <v>1335.18</v>
      </c>
      <c r="G424" s="34" t="n">
        <f aca="false">+VLOOKUP(B424,[1]Hoja1!$C$8:$D$715,2,0)</f>
        <v>1122</v>
      </c>
      <c r="H424" s="34" t="e">
        <f aca="false">+VLOOKUP(A424,[1]Hoja1!$B$7:$D$715,3,0)</f>
        <v>#N/A</v>
      </c>
      <c r="I424" s="34" t="n">
        <v>1122</v>
      </c>
    </row>
    <row r="425" customFormat="false" ht="16.5" hidden="false" customHeight="false" outlineLevel="0" collapsed="false">
      <c r="A425" s="49" t="s">
        <v>888</v>
      </c>
      <c r="B425" s="50" t="s">
        <v>889</v>
      </c>
      <c r="C425" s="50" t="s">
        <v>9</v>
      </c>
      <c r="D425" s="51" t="n">
        <v>1122</v>
      </c>
      <c r="E425" s="52" t="n">
        <v>0.19</v>
      </c>
      <c r="F425" s="51" t="n">
        <f aca="false">+D425*(1+E425)</f>
        <v>1335.18</v>
      </c>
      <c r="G425" s="34" t="n">
        <f aca="false">+VLOOKUP(B425,[1]Hoja1!$C$8:$D$715,2,0)</f>
        <v>1122</v>
      </c>
      <c r="H425" s="34" t="e">
        <f aca="false">+VLOOKUP(A425,[1]Hoja1!$B$7:$D$715,3,0)</f>
        <v>#N/A</v>
      </c>
      <c r="I425" s="34" t="n">
        <v>1122</v>
      </c>
    </row>
    <row r="426" customFormat="false" ht="16.5" hidden="false" customHeight="false" outlineLevel="0" collapsed="false">
      <c r="A426" s="49" t="s">
        <v>890</v>
      </c>
      <c r="B426" s="50" t="s">
        <v>891</v>
      </c>
      <c r="C426" s="50" t="s">
        <v>9</v>
      </c>
      <c r="D426" s="51" t="n">
        <v>1122</v>
      </c>
      <c r="E426" s="52" t="n">
        <v>0.19</v>
      </c>
      <c r="F426" s="51" t="n">
        <f aca="false">+D426*(1+E426)</f>
        <v>1335.18</v>
      </c>
      <c r="G426" s="34" t="n">
        <f aca="false">+VLOOKUP(B426,[1]Hoja1!$C$8:$D$715,2,0)</f>
        <v>1122</v>
      </c>
      <c r="H426" s="34" t="e">
        <f aca="false">+VLOOKUP(A426,[1]Hoja1!$B$7:$D$715,3,0)</f>
        <v>#N/A</v>
      </c>
      <c r="I426" s="34" t="n">
        <v>1122</v>
      </c>
    </row>
    <row r="427" customFormat="false" ht="16.5" hidden="false" customHeight="false" outlineLevel="0" collapsed="false">
      <c r="A427" s="49" t="s">
        <v>892</v>
      </c>
      <c r="B427" s="50" t="s">
        <v>893</v>
      </c>
      <c r="C427" s="50" t="s">
        <v>9</v>
      </c>
      <c r="D427" s="51" t="n">
        <v>4265</v>
      </c>
      <c r="E427" s="52" t="n">
        <v>0.19</v>
      </c>
      <c r="F427" s="51" t="n">
        <f aca="false">+D427*(1+E427)</f>
        <v>5075.35</v>
      </c>
      <c r="G427" s="34" t="n">
        <f aca="false">+VLOOKUP(B427,[1]Hoja1!$C$8:$D$715,2,0)</f>
        <v>4265</v>
      </c>
      <c r="H427" s="34" t="e">
        <f aca="false">+VLOOKUP(A427,[1]Hoja1!$B$7:$D$715,3,0)</f>
        <v>#N/A</v>
      </c>
      <c r="I427" s="34" t="n">
        <v>4265</v>
      </c>
    </row>
    <row r="428" customFormat="false" ht="15.75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0">
    <mergeCell ref="A1:E1"/>
    <mergeCell ref="B2:E2"/>
    <mergeCell ref="B3:E3"/>
    <mergeCell ref="B4:E4"/>
    <mergeCell ref="B5:E5"/>
    <mergeCell ref="A7:E7"/>
    <mergeCell ref="A8:E8"/>
    <mergeCell ref="A33:E33"/>
    <mergeCell ref="A50:E50"/>
    <mergeCell ref="A63:E63"/>
    <mergeCell ref="B75:E75"/>
    <mergeCell ref="A77:E77"/>
    <mergeCell ref="A93:E93"/>
    <mergeCell ref="A104:E104"/>
    <mergeCell ref="A115:E115"/>
    <mergeCell ref="A123:E123"/>
    <mergeCell ref="A130:E130"/>
    <mergeCell ref="A156:E156"/>
    <mergeCell ref="A183:E183"/>
    <mergeCell ref="A194:E194"/>
    <mergeCell ref="A205:E205"/>
    <mergeCell ref="A220:E220"/>
    <mergeCell ref="A281:E281"/>
    <mergeCell ref="A295:F295"/>
    <mergeCell ref="A305:F305"/>
    <mergeCell ref="A367:E367"/>
    <mergeCell ref="A393:E393"/>
    <mergeCell ref="A400:E400"/>
    <mergeCell ref="A404:F404"/>
    <mergeCell ref="A414:F414"/>
  </mergeCells>
  <conditionalFormatting sqref="A103">
    <cfRule type="duplicateValues" priority="2" aboveAverage="0" equalAverage="0" bottom="0" percent="0" rank="0" text="" dxfId="0"/>
  </conditionalFormatting>
  <conditionalFormatting sqref="A92">
    <cfRule type="duplicateValues" priority="3" aboveAverage="0" equalAverage="0" bottom="0" percent="0" rank="0" text="" dxfId="1"/>
  </conditionalFormatting>
  <conditionalFormatting sqref="K20">
    <cfRule type="duplicateValues" priority="4" aboveAverage="0" equalAverage="0" bottom="0" percent="0" rank="0" text="" dxfId="2"/>
  </conditionalFormatting>
  <conditionalFormatting sqref="K22">
    <cfRule type="duplicateValues" priority="5" aboveAverage="0" equalAverage="0" bottom="0" percent="0" rank="0" text="" dxfId="3"/>
  </conditionalFormatting>
  <conditionalFormatting sqref="K23">
    <cfRule type="duplicateValues" priority="6" aboveAverage="0" equalAverage="0" bottom="0" percent="0" rank="0" text="" dxfId="4"/>
  </conditionalFormatting>
  <conditionalFormatting sqref="K24">
    <cfRule type="duplicateValues" priority="7" aboveAverage="0" equalAverage="0" bottom="0" percent="0" rank="0" text="" dxfId="5"/>
  </conditionalFormatting>
  <conditionalFormatting sqref="K25">
    <cfRule type="duplicateValues" priority="8" aboveAverage="0" equalAverage="0" bottom="0" percent="0" rank="0" text="" dxfId="6"/>
  </conditionalFormatting>
  <conditionalFormatting sqref="K26:K27">
    <cfRule type="duplicateValues" priority="9" aboveAverage="0" equalAverage="0" bottom="0" percent="0" rank="0" text="" dxfId="7"/>
  </conditionalFormatting>
  <conditionalFormatting sqref="K28:K29">
    <cfRule type="duplicateValues" priority="10" aboveAverage="0" equalAverage="0" bottom="0" percent="0" rank="0" text="" dxfId="8"/>
  </conditionalFormatting>
  <conditionalFormatting sqref="K30:K31">
    <cfRule type="duplicateValues" priority="11" aboveAverage="0" equalAverage="0" bottom="0" percent="0" rank="0" text="" dxfId="9"/>
  </conditionalFormatting>
  <conditionalFormatting sqref="K32">
    <cfRule type="duplicateValues" priority="12" aboveAverage="0" equalAverage="0" bottom="0" percent="0" rank="0" text="" dxfId="10"/>
  </conditionalFormatting>
  <printOptions headings="false" gridLines="false" gridLinesSet="true" horizontalCentered="true" verticalCentered="false"/>
  <pageMargins left="0.236111111111111" right="0.236111111111111" top="0.7875" bottom="0.747916666666667" header="0.511811023622047" footer="0.511811023622047"/>
  <pageSetup paperSize="1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21" activeCellId="0" sqref="H21"/>
    </sheetView>
  </sheetViews>
  <sheetFormatPr defaultColWidth="11.1484375" defaultRowHeight="15" zeroHeight="false" outlineLevelRow="0" outlineLevelCol="0"/>
  <cols>
    <col collapsed="false" customWidth="true" hidden="false" outlineLevel="0" max="1" min="1" style="2" width="57.29"/>
    <col collapsed="false" customWidth="true" hidden="false" outlineLevel="0" max="2" min="2" style="2" width="12.57"/>
    <col collapsed="false" customWidth="true" hidden="false" outlineLevel="0" max="3" min="3" style="2" width="15.71"/>
  </cols>
  <sheetData>
    <row r="1" customFormat="false" ht="15" hidden="false" customHeight="false" outlineLevel="0" collapsed="false">
      <c r="A1" s="90"/>
      <c r="B1" s="90"/>
      <c r="C1" s="90"/>
    </row>
    <row r="2" customFormat="false" ht="15" hidden="false" customHeight="false" outlineLevel="0" collapsed="false">
      <c r="A2" s="90"/>
      <c r="B2" s="90"/>
      <c r="C2" s="90"/>
    </row>
    <row r="3" customFormat="false" ht="15" hidden="false" customHeight="false" outlineLevel="0" collapsed="false">
      <c r="A3" s="90"/>
      <c r="B3" s="90"/>
      <c r="C3" s="90"/>
    </row>
    <row r="4" customFormat="false" ht="19.5" hidden="false" customHeight="false" outlineLevel="0" collapsed="false">
      <c r="A4" s="91" t="s">
        <v>894</v>
      </c>
      <c r="B4" s="90"/>
      <c r="C4" s="90"/>
    </row>
    <row r="5" customFormat="false" ht="19.5" hidden="false" customHeight="false" outlineLevel="0" collapsed="false">
      <c r="A5" s="91"/>
      <c r="B5" s="90"/>
      <c r="C5" s="90"/>
    </row>
    <row r="6" customFormat="false" ht="19.5" hidden="false" customHeight="false" outlineLevel="0" collapsed="false">
      <c r="A6" s="91"/>
      <c r="B6" s="90"/>
      <c r="C6" s="90"/>
    </row>
    <row r="7" customFormat="false" ht="19.5" hidden="false" customHeight="false" outlineLevel="0" collapsed="false">
      <c r="A7" s="91"/>
      <c r="B7" s="90"/>
      <c r="C7" s="90"/>
    </row>
    <row r="8" customFormat="false" ht="15" hidden="false" customHeight="false" outlineLevel="0" collapsed="false">
      <c r="A8" s="90"/>
      <c r="B8" s="90"/>
      <c r="C8" s="90"/>
    </row>
    <row r="9" customFormat="false" ht="22.5" hidden="false" customHeight="false" outlineLevel="0" collapsed="false">
      <c r="A9" s="92" t="s">
        <v>895</v>
      </c>
      <c r="B9" s="92"/>
      <c r="C9" s="92"/>
    </row>
    <row r="10" customFormat="false" ht="25.5" hidden="false" customHeight="false" outlineLevel="0" collapsed="false">
      <c r="A10" s="93" t="s">
        <v>896</v>
      </c>
      <c r="B10" s="93"/>
      <c r="C10" s="93"/>
    </row>
    <row r="11" customFormat="false" ht="22.5" hidden="false" customHeight="false" outlineLevel="0" collapsed="false">
      <c r="A11" s="92" t="s">
        <v>57</v>
      </c>
      <c r="B11" s="92"/>
      <c r="C11" s="92"/>
    </row>
    <row r="12" customFormat="false" ht="15" hidden="false" customHeight="false" outlineLevel="0" collapsed="false">
      <c r="A12" s="90"/>
      <c r="B12" s="90"/>
      <c r="C12" s="90"/>
    </row>
    <row r="13" customFormat="false" ht="15" hidden="false" customHeight="false" outlineLevel="0" collapsed="false">
      <c r="A13" s="90"/>
      <c r="B13" s="90"/>
      <c r="C13" s="90"/>
    </row>
    <row r="14" customFormat="false" ht="15" hidden="false" customHeight="false" outlineLevel="0" collapsed="false">
      <c r="A14" s="90"/>
      <c r="B14" s="90"/>
      <c r="C14" s="90"/>
    </row>
    <row r="15" customFormat="false" ht="18" hidden="false" customHeight="false" outlineLevel="0" collapsed="false">
      <c r="A15" s="90"/>
      <c r="B15" s="94" t="s">
        <v>10</v>
      </c>
      <c r="C15" s="94" t="s">
        <v>897</v>
      </c>
    </row>
    <row r="16" customFormat="false" ht="15" hidden="false" customHeight="false" outlineLevel="0" collapsed="false">
      <c r="A16" s="90"/>
      <c r="B16" s="95"/>
      <c r="C16" s="95"/>
    </row>
    <row r="17" customFormat="false" ht="22.5" hidden="false" customHeight="false" outlineLevel="0" collapsed="false">
      <c r="A17" s="96" t="s">
        <v>898</v>
      </c>
      <c r="B17" s="97" t="n">
        <v>442</v>
      </c>
      <c r="C17" s="98" t="n">
        <v>0.16</v>
      </c>
    </row>
    <row r="18" customFormat="false" ht="22.5" hidden="false" customHeight="false" outlineLevel="0" collapsed="false">
      <c r="A18" s="96"/>
      <c r="B18" s="99"/>
      <c r="C18" s="99"/>
    </row>
    <row r="19" customFormat="false" ht="22.5" hidden="false" customHeight="false" outlineLevel="0" collapsed="false">
      <c r="A19" s="96" t="s">
        <v>899</v>
      </c>
      <c r="B19" s="97" t="n">
        <v>1105</v>
      </c>
      <c r="C19" s="98" t="n">
        <v>0.16</v>
      </c>
    </row>
    <row r="20" customFormat="false" ht="22.5" hidden="false" customHeight="false" outlineLevel="0" collapsed="false">
      <c r="A20" s="96"/>
      <c r="B20" s="99"/>
      <c r="C20" s="99"/>
    </row>
    <row r="21" customFormat="false" ht="22.5" hidden="false" customHeight="false" outlineLevel="0" collapsed="false">
      <c r="A21" s="96" t="s">
        <v>900</v>
      </c>
      <c r="B21" s="97" t="n">
        <v>3168</v>
      </c>
      <c r="C21" s="98" t="n">
        <v>0.16</v>
      </c>
    </row>
    <row r="22" customFormat="false" ht="19.5" hidden="false" customHeight="false" outlineLevel="0" collapsed="false">
      <c r="A22" s="91"/>
      <c r="B22" s="99"/>
      <c r="C22" s="99"/>
    </row>
    <row r="23" customFormat="false" ht="19.5" hidden="false" customHeight="false" outlineLevel="0" collapsed="false">
      <c r="A23" s="91"/>
      <c r="B23" s="99"/>
      <c r="C23" s="99"/>
    </row>
    <row r="24" customFormat="false" ht="19.5" hidden="false" customHeight="false" outlineLevel="0" collapsed="false">
      <c r="A24" s="91"/>
      <c r="B24" s="99"/>
      <c r="C24" s="99"/>
    </row>
    <row r="25" customFormat="false" ht="19.5" hidden="false" customHeight="false" outlineLevel="0" collapsed="false">
      <c r="A25" s="91"/>
      <c r="B25" s="99"/>
      <c r="C25" s="99"/>
    </row>
    <row r="26" customFormat="false" ht="19.5" hidden="false" customHeight="false" outlineLevel="0" collapsed="false">
      <c r="A26" s="91"/>
      <c r="B26" s="99"/>
      <c r="C26" s="99"/>
    </row>
    <row r="27" customFormat="false" ht="15" hidden="false" customHeight="false" outlineLevel="0" collapsed="false">
      <c r="A27" s="90"/>
      <c r="B27" s="90"/>
      <c r="C27" s="90"/>
    </row>
    <row r="28" customFormat="false" ht="15" hidden="false" customHeight="false" outlineLevel="0" collapsed="false">
      <c r="A28" s="90"/>
      <c r="B28" s="90"/>
      <c r="C28" s="90"/>
    </row>
    <row r="29" customFormat="false" ht="22.5" hidden="false" customHeight="false" outlineLevel="0" collapsed="false">
      <c r="A29" s="100" t="s">
        <v>901</v>
      </c>
      <c r="B29" s="100"/>
      <c r="C29" s="100"/>
    </row>
    <row r="30" customFormat="false" ht="22.5" hidden="false" customHeight="false" outlineLevel="0" collapsed="false">
      <c r="A30" s="100" t="s">
        <v>902</v>
      </c>
      <c r="B30" s="100"/>
      <c r="C30" s="90"/>
    </row>
  </sheetData>
  <mergeCells count="5">
    <mergeCell ref="A9:C9"/>
    <mergeCell ref="A10:C10"/>
    <mergeCell ref="A11:C11"/>
    <mergeCell ref="A29:C29"/>
    <mergeCell ref="A30:B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F2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53" activeCellId="0" sqref="F53"/>
    </sheetView>
  </sheetViews>
  <sheetFormatPr defaultColWidth="11.1484375" defaultRowHeight="15" zeroHeight="false" outlineLevelRow="0" outlineLevelCol="0"/>
  <cols>
    <col collapsed="false" customWidth="true" hidden="false" outlineLevel="0" max="1" min="1" style="1" width="7.42"/>
    <col collapsed="false" customWidth="true" hidden="false" outlineLevel="0" max="2" min="2" style="2" width="37"/>
    <col collapsed="false" customWidth="true" hidden="false" outlineLevel="0" max="3" min="3" style="3" width="9.14"/>
    <col collapsed="false" customWidth="true" hidden="true" outlineLevel="0" max="4" min="4" style="3" width="13.57"/>
    <col collapsed="false" customWidth="true" hidden="false" outlineLevel="0" max="5" min="5" style="4" width="14.86"/>
    <col collapsed="false" customWidth="true" hidden="false" outlineLevel="0" max="6" min="6" style="3" width="9.14"/>
  </cols>
  <sheetData>
    <row r="5" customFormat="false" ht="18.75" hidden="false" customHeight="false" outlineLevel="0" collapsed="false">
      <c r="A5" s="26" t="s">
        <v>903</v>
      </c>
      <c r="B5" s="26"/>
      <c r="C5" s="26"/>
      <c r="D5" s="26"/>
      <c r="E5" s="26"/>
      <c r="F5" s="26"/>
    </row>
    <row r="6" customFormat="false" ht="15.75" hidden="false" customHeight="false" outlineLevel="0" collapsed="false">
      <c r="B6" s="10" t="s">
        <v>57</v>
      </c>
      <c r="C6" s="10"/>
      <c r="D6" s="10"/>
      <c r="E6" s="10"/>
      <c r="F6" s="10"/>
    </row>
    <row r="7" customFormat="false" ht="15" hidden="false" customHeight="false" outlineLevel="0" collapsed="false">
      <c r="B7" s="27" t="s">
        <v>2</v>
      </c>
      <c r="C7" s="27"/>
      <c r="D7" s="27"/>
      <c r="E7" s="27"/>
      <c r="F7" s="27"/>
    </row>
    <row r="8" customFormat="false" ht="15" hidden="false" customHeight="false" outlineLevel="0" collapsed="false">
      <c r="B8" s="8" t="s">
        <v>3</v>
      </c>
      <c r="C8" s="8"/>
      <c r="D8" s="8"/>
      <c r="E8" s="8"/>
      <c r="F8" s="8"/>
    </row>
    <row r="9" customFormat="false" ht="15" hidden="false" customHeight="false" outlineLevel="0" collapsed="false">
      <c r="B9" s="8" t="s">
        <v>4</v>
      </c>
      <c r="C9" s="8"/>
      <c r="D9" s="8"/>
      <c r="E9" s="8"/>
      <c r="F9" s="8"/>
    </row>
    <row r="10" customFormat="false" ht="15" hidden="false" customHeight="false" outlineLevel="0" collapsed="false">
      <c r="B10" s="11" t="s">
        <v>904</v>
      </c>
      <c r="C10" s="11"/>
      <c r="D10" s="11"/>
      <c r="E10" s="11"/>
      <c r="F10" s="11"/>
    </row>
    <row r="11" customFormat="false" ht="15.75" hidden="false" customHeight="false" outlineLevel="0" collapsed="false">
      <c r="A11" s="10" t="s">
        <v>905</v>
      </c>
      <c r="B11" s="10"/>
      <c r="C11" s="10"/>
      <c r="D11" s="10"/>
      <c r="E11" s="10"/>
      <c r="F11" s="10"/>
    </row>
    <row r="12" customFormat="false" ht="15" hidden="false" customHeight="false" outlineLevel="0" collapsed="false">
      <c r="A12" s="22"/>
      <c r="B12" s="13"/>
      <c r="C12" s="13"/>
      <c r="D12" s="13"/>
      <c r="E12" s="23"/>
      <c r="F12" s="13"/>
    </row>
    <row r="13" customFormat="false" ht="15" hidden="false" customHeight="false" outlineLevel="0" collapsed="false">
      <c r="A13" s="15" t="s">
        <v>7</v>
      </c>
      <c r="B13" s="16" t="s">
        <v>8</v>
      </c>
      <c r="C13" s="16" t="s">
        <v>9</v>
      </c>
      <c r="D13" s="16" t="s">
        <v>31</v>
      </c>
      <c r="E13" s="17" t="s">
        <v>10</v>
      </c>
      <c r="F13" s="16" t="s">
        <v>11</v>
      </c>
    </row>
    <row r="14" customFormat="false" ht="15" hidden="false" customHeight="false" outlineLevel="0" collapsed="false">
      <c r="A14" s="18" t="s">
        <v>906</v>
      </c>
      <c r="B14" s="18" t="s">
        <v>907</v>
      </c>
      <c r="C14" s="19" t="s">
        <v>21</v>
      </c>
      <c r="D14" s="20" t="n">
        <v>3471</v>
      </c>
      <c r="E14" s="21"/>
      <c r="F14" s="19" t="n">
        <v>16</v>
      </c>
    </row>
    <row r="15" customFormat="false" ht="15" hidden="false" customHeight="false" outlineLevel="0" collapsed="false">
      <c r="A15" s="18"/>
      <c r="B15" s="18" t="s">
        <v>908</v>
      </c>
      <c r="C15" s="19" t="s">
        <v>909</v>
      </c>
      <c r="D15" s="20" t="n">
        <v>16916</v>
      </c>
      <c r="E15" s="21"/>
      <c r="F15" s="19" t="n">
        <v>16</v>
      </c>
    </row>
    <row r="16" customFormat="false" ht="15" hidden="false" customHeight="false" outlineLevel="0" collapsed="false">
      <c r="A16" s="18" t="s">
        <v>910</v>
      </c>
      <c r="B16" s="18" t="s">
        <v>911</v>
      </c>
      <c r="C16" s="19" t="s">
        <v>14</v>
      </c>
      <c r="D16" s="20" t="n">
        <v>1322</v>
      </c>
      <c r="E16" s="21"/>
      <c r="F16" s="19" t="n">
        <v>16</v>
      </c>
    </row>
    <row r="17" customFormat="false" ht="15" hidden="false" customHeight="false" outlineLevel="0" collapsed="false">
      <c r="A17" s="18" t="s">
        <v>912</v>
      </c>
      <c r="B17" s="18" t="s">
        <v>913</v>
      </c>
      <c r="C17" s="19" t="s">
        <v>14</v>
      </c>
      <c r="D17" s="20" t="n">
        <v>1268</v>
      </c>
      <c r="E17" s="21"/>
      <c r="F17" s="19" t="n">
        <v>16</v>
      </c>
    </row>
    <row r="18" customFormat="false" ht="15" hidden="false" customHeight="false" outlineLevel="0" collapsed="false">
      <c r="A18" s="18" t="s">
        <v>914</v>
      </c>
      <c r="B18" s="18" t="s">
        <v>915</v>
      </c>
      <c r="C18" s="19" t="s">
        <v>14</v>
      </c>
      <c r="D18" s="20" t="n">
        <v>1054</v>
      </c>
      <c r="E18" s="21"/>
      <c r="F18" s="19" t="n">
        <v>16</v>
      </c>
    </row>
    <row r="19" customFormat="false" ht="15" hidden="false" customHeight="false" outlineLevel="0" collapsed="false">
      <c r="A19" s="18" t="s">
        <v>916</v>
      </c>
      <c r="B19" s="18" t="s">
        <v>917</v>
      </c>
      <c r="C19" s="19" t="s">
        <v>14</v>
      </c>
      <c r="D19" s="20" t="n">
        <v>2257</v>
      </c>
      <c r="E19" s="21"/>
      <c r="F19" s="19" t="n">
        <v>16</v>
      </c>
    </row>
    <row r="20" customFormat="false" ht="15" hidden="false" customHeight="false" outlineLevel="0" collapsed="false">
      <c r="A20" s="101" t="s">
        <v>918</v>
      </c>
      <c r="B20" s="101" t="s">
        <v>919</v>
      </c>
      <c r="C20" s="102" t="s">
        <v>909</v>
      </c>
      <c r="D20" s="103" t="n">
        <v>17377</v>
      </c>
      <c r="E20" s="104" t="n">
        <v>13482</v>
      </c>
      <c r="F20" s="102" t="n">
        <v>16</v>
      </c>
    </row>
    <row r="21" customFormat="false" ht="15" hidden="false" customHeight="false" outlineLevel="0" collapsed="false">
      <c r="A21" s="18" t="s">
        <v>920</v>
      </c>
      <c r="B21" s="18" t="s">
        <v>921</v>
      </c>
      <c r="C21" s="19" t="s">
        <v>922</v>
      </c>
      <c r="D21" s="20" t="n">
        <v>78764</v>
      </c>
      <c r="E21" s="21"/>
      <c r="F21" s="19" t="n">
        <v>16</v>
      </c>
    </row>
    <row r="22" customFormat="false" ht="15" hidden="false" customHeight="false" outlineLevel="0" collapsed="false">
      <c r="A22" s="18" t="s">
        <v>923</v>
      </c>
      <c r="B22" s="18" t="s">
        <v>924</v>
      </c>
      <c r="C22" s="19" t="s">
        <v>925</v>
      </c>
      <c r="D22" s="20" t="n">
        <v>6236</v>
      </c>
      <c r="E22" s="21"/>
      <c r="F22" s="19" t="n">
        <v>16</v>
      </c>
    </row>
    <row r="23" customFormat="false" ht="15" hidden="false" customHeight="false" outlineLevel="0" collapsed="false">
      <c r="A23" s="101" t="s">
        <v>926</v>
      </c>
      <c r="B23" s="101" t="s">
        <v>927</v>
      </c>
      <c r="C23" s="102" t="s">
        <v>21</v>
      </c>
      <c r="D23" s="103" t="n">
        <v>3728</v>
      </c>
      <c r="E23" s="104" t="n">
        <v>3455</v>
      </c>
      <c r="F23" s="102" t="n">
        <v>16</v>
      </c>
    </row>
    <row r="24" customFormat="false" ht="15" hidden="false" customHeight="false" outlineLevel="0" collapsed="false">
      <c r="A24" s="18" t="s">
        <v>928</v>
      </c>
      <c r="B24" s="18" t="s">
        <v>929</v>
      </c>
      <c r="C24" s="19" t="s">
        <v>14</v>
      </c>
      <c r="D24" s="20" t="n">
        <v>814</v>
      </c>
      <c r="E24" s="21"/>
      <c r="F24" s="19" t="n">
        <v>16</v>
      </c>
    </row>
    <row r="25" customFormat="false" ht="15" hidden="false" customHeight="false" outlineLevel="0" collapsed="false">
      <c r="A25" s="101" t="s">
        <v>930</v>
      </c>
      <c r="B25" s="101" t="s">
        <v>931</v>
      </c>
      <c r="C25" s="102" t="s">
        <v>909</v>
      </c>
      <c r="D25" s="103" t="n">
        <v>10329</v>
      </c>
      <c r="E25" s="104" t="n">
        <v>8013</v>
      </c>
      <c r="F25" s="102" t="n">
        <v>16</v>
      </c>
    </row>
    <row r="26" customFormat="false" ht="15" hidden="false" customHeight="false" outlineLevel="0" collapsed="false">
      <c r="A26" s="101" t="s">
        <v>932</v>
      </c>
      <c r="B26" s="101" t="s">
        <v>933</v>
      </c>
      <c r="C26" s="102" t="s">
        <v>909</v>
      </c>
      <c r="D26" s="103" t="n">
        <v>17827</v>
      </c>
      <c r="E26" s="104" t="n">
        <v>12807</v>
      </c>
      <c r="F26" s="102" t="n">
        <v>16</v>
      </c>
    </row>
    <row r="27" customFormat="false" ht="15" hidden="false" customHeight="false" outlineLevel="0" collapsed="false">
      <c r="A27" s="18" t="s">
        <v>934</v>
      </c>
      <c r="B27" s="18" t="s">
        <v>935</v>
      </c>
      <c r="C27" s="19" t="s">
        <v>14</v>
      </c>
      <c r="D27" s="20" t="n">
        <v>1049</v>
      </c>
      <c r="E27" s="21"/>
      <c r="F27" s="19" t="n">
        <v>16</v>
      </c>
    </row>
    <row r="28" customFormat="false" ht="15" hidden="false" customHeight="false" outlineLevel="0" collapsed="false">
      <c r="A28" s="101" t="s">
        <v>936</v>
      </c>
      <c r="B28" s="101" t="s">
        <v>937</v>
      </c>
      <c r="C28" s="102" t="s">
        <v>909</v>
      </c>
      <c r="D28" s="103" t="n">
        <v>15999</v>
      </c>
      <c r="E28" s="104" t="n">
        <v>12413</v>
      </c>
      <c r="F28" s="102" t="n">
        <v>16</v>
      </c>
    </row>
    <row r="29" customFormat="false" ht="15" hidden="false" customHeight="false" outlineLevel="0" collapsed="false">
      <c r="A29" s="101" t="s">
        <v>938</v>
      </c>
      <c r="B29" s="101" t="s">
        <v>939</v>
      </c>
      <c r="C29" s="102" t="s">
        <v>21</v>
      </c>
      <c r="D29" s="103" t="n">
        <v>16130</v>
      </c>
      <c r="E29" s="104" t="n">
        <v>11125</v>
      </c>
      <c r="F29" s="102" t="n">
        <v>16</v>
      </c>
    </row>
    <row r="30" customFormat="false" ht="15" hidden="false" customHeight="false" outlineLevel="0" collapsed="false">
      <c r="A30" s="101" t="s">
        <v>940</v>
      </c>
      <c r="B30" s="101" t="s">
        <v>941</v>
      </c>
      <c r="C30" s="102" t="s">
        <v>922</v>
      </c>
      <c r="D30" s="103" t="n">
        <v>73958</v>
      </c>
      <c r="E30" s="104" t="n">
        <v>53131</v>
      </c>
      <c r="F30" s="102" t="n">
        <v>16</v>
      </c>
    </row>
    <row r="31" customFormat="false" ht="15" hidden="false" customHeight="false" outlineLevel="0" collapsed="false">
      <c r="A31" s="18" t="s">
        <v>942</v>
      </c>
      <c r="B31" s="18" t="s">
        <v>943</v>
      </c>
      <c r="C31" s="19" t="s">
        <v>14</v>
      </c>
      <c r="D31" s="20" t="n">
        <v>1291</v>
      </c>
      <c r="E31" s="21"/>
      <c r="F31" s="19" t="n">
        <v>16</v>
      </c>
    </row>
    <row r="32" customFormat="false" ht="15" hidden="false" customHeight="false" outlineLevel="0" collapsed="false">
      <c r="A32" s="18" t="s">
        <v>944</v>
      </c>
      <c r="B32" s="18" t="s">
        <v>945</v>
      </c>
      <c r="C32" s="19" t="s">
        <v>21</v>
      </c>
      <c r="D32" s="20" t="n">
        <v>1154</v>
      </c>
      <c r="E32" s="21"/>
      <c r="F32" s="19" t="n">
        <v>16</v>
      </c>
    </row>
    <row r="33" customFormat="false" ht="15" hidden="false" customHeight="false" outlineLevel="0" collapsed="false">
      <c r="A33" s="101" t="s">
        <v>946</v>
      </c>
      <c r="B33" s="101" t="s">
        <v>947</v>
      </c>
      <c r="C33" s="102" t="s">
        <v>948</v>
      </c>
      <c r="D33" s="103" t="n">
        <v>6981</v>
      </c>
      <c r="E33" s="104" t="n">
        <v>5266</v>
      </c>
      <c r="F33" s="102" t="n">
        <v>16</v>
      </c>
    </row>
    <row r="34" customFormat="false" ht="15" hidden="false" customHeight="false" outlineLevel="0" collapsed="false">
      <c r="A34" s="101" t="s">
        <v>949</v>
      </c>
      <c r="B34" s="101" t="s">
        <v>950</v>
      </c>
      <c r="C34" s="102" t="s">
        <v>922</v>
      </c>
      <c r="D34" s="103" t="n">
        <v>70035</v>
      </c>
      <c r="E34" s="104" t="n">
        <v>54840</v>
      </c>
      <c r="F34" s="102" t="n">
        <v>16</v>
      </c>
    </row>
    <row r="35" customFormat="false" ht="15" hidden="false" customHeight="false" outlineLevel="0" collapsed="false">
      <c r="A35" s="18" t="s">
        <v>951</v>
      </c>
      <c r="B35" s="18" t="s">
        <v>952</v>
      </c>
      <c r="C35" s="19" t="s">
        <v>21</v>
      </c>
      <c r="D35" s="20" t="n">
        <v>1007</v>
      </c>
      <c r="E35" s="21"/>
      <c r="F35" s="19" t="n">
        <v>16</v>
      </c>
    </row>
    <row r="36" customFormat="false" ht="15" hidden="false" customHeight="false" outlineLevel="0" collapsed="false">
      <c r="A36" s="101" t="s">
        <v>953</v>
      </c>
      <c r="B36" s="101" t="s">
        <v>954</v>
      </c>
      <c r="C36" s="102" t="s">
        <v>955</v>
      </c>
      <c r="D36" s="103" t="n">
        <v>5449</v>
      </c>
      <c r="E36" s="104" t="n">
        <v>4110</v>
      </c>
      <c r="F36" s="102" t="n">
        <v>16</v>
      </c>
    </row>
    <row r="37" customFormat="false" ht="15" hidden="false" customHeight="false" outlineLevel="0" collapsed="false">
      <c r="A37" s="18" t="s">
        <v>956</v>
      </c>
      <c r="B37" s="18" t="s">
        <v>957</v>
      </c>
      <c r="C37" s="19" t="s">
        <v>21</v>
      </c>
      <c r="D37" s="20" t="n">
        <v>1230</v>
      </c>
      <c r="E37" s="21"/>
      <c r="F37" s="19" t="n">
        <v>16</v>
      </c>
    </row>
    <row r="38" customFormat="false" ht="15" hidden="false" customHeight="false" outlineLevel="0" collapsed="false">
      <c r="A38" s="18" t="s">
        <v>958</v>
      </c>
      <c r="B38" s="18" t="s">
        <v>959</v>
      </c>
      <c r="C38" s="19" t="s">
        <v>14</v>
      </c>
      <c r="D38" s="20" t="n">
        <v>919</v>
      </c>
      <c r="E38" s="21"/>
      <c r="F38" s="19" t="n">
        <v>16</v>
      </c>
    </row>
    <row r="39" customFormat="false" ht="15" hidden="false" customHeight="false" outlineLevel="0" collapsed="false">
      <c r="A39" s="18" t="s">
        <v>960</v>
      </c>
      <c r="B39" s="18" t="s">
        <v>961</v>
      </c>
      <c r="C39" s="19" t="s">
        <v>14</v>
      </c>
      <c r="D39" s="20" t="n">
        <v>790</v>
      </c>
      <c r="E39" s="21"/>
      <c r="F39" s="19" t="n">
        <v>16</v>
      </c>
    </row>
    <row r="40" customFormat="false" ht="15" hidden="false" customHeight="false" outlineLevel="0" collapsed="false">
      <c r="A40" s="18" t="s">
        <v>962</v>
      </c>
      <c r="B40" s="18" t="s">
        <v>963</v>
      </c>
      <c r="C40" s="19" t="s">
        <v>14</v>
      </c>
      <c r="D40" s="20" t="n">
        <v>1743</v>
      </c>
      <c r="E40" s="21"/>
      <c r="F40" s="19" t="n">
        <v>16</v>
      </c>
    </row>
    <row r="41" customFormat="false" ht="15" hidden="false" customHeight="false" outlineLevel="0" collapsed="false">
      <c r="A41" s="101" t="s">
        <v>964</v>
      </c>
      <c r="B41" s="101" t="s">
        <v>965</v>
      </c>
      <c r="C41" s="102" t="s">
        <v>909</v>
      </c>
      <c r="D41" s="103" t="n">
        <f aca="false">13848*1.16</f>
        <v>16063.68</v>
      </c>
      <c r="E41" s="104" t="n">
        <v>11540</v>
      </c>
      <c r="F41" s="102" t="n">
        <v>16</v>
      </c>
    </row>
    <row r="42" customFormat="false" ht="15" hidden="false" customHeight="false" outlineLevel="0" collapsed="false">
      <c r="A42" s="18" t="s">
        <v>966</v>
      </c>
      <c r="B42" s="18" t="s">
        <v>967</v>
      </c>
      <c r="C42" s="19" t="s">
        <v>21</v>
      </c>
      <c r="D42" s="20" t="n">
        <v>2027</v>
      </c>
      <c r="E42" s="21"/>
      <c r="F42" s="19" t="n">
        <v>16</v>
      </c>
    </row>
    <row r="43" customFormat="false" ht="15" hidden="false" customHeight="false" outlineLevel="0" collapsed="false">
      <c r="A43" s="18" t="s">
        <v>968</v>
      </c>
      <c r="B43" s="18" t="s">
        <v>969</v>
      </c>
      <c r="C43" s="19" t="s">
        <v>925</v>
      </c>
      <c r="D43" s="20" t="n">
        <v>6236</v>
      </c>
      <c r="E43" s="21"/>
      <c r="F43" s="19" t="n">
        <v>16</v>
      </c>
    </row>
    <row r="44" customFormat="false" ht="15" hidden="false" customHeight="false" outlineLevel="0" collapsed="false">
      <c r="A44" s="101" t="s">
        <v>970</v>
      </c>
      <c r="B44" s="101" t="s">
        <v>971</v>
      </c>
      <c r="C44" s="102" t="s">
        <v>948</v>
      </c>
      <c r="D44" s="103" t="n">
        <v>3836</v>
      </c>
      <c r="E44" s="104" t="n">
        <v>2893</v>
      </c>
      <c r="F44" s="102" t="n">
        <v>16</v>
      </c>
    </row>
    <row r="45" customFormat="false" ht="15" hidden="false" customHeight="false" outlineLevel="0" collapsed="false">
      <c r="A45" s="18" t="s">
        <v>972</v>
      </c>
      <c r="B45" s="18" t="s">
        <v>973</v>
      </c>
      <c r="C45" s="19" t="s">
        <v>21</v>
      </c>
      <c r="D45" s="20" t="n">
        <v>1000</v>
      </c>
      <c r="E45" s="21"/>
      <c r="F45" s="19" t="n">
        <v>16</v>
      </c>
    </row>
    <row r="46" customFormat="false" ht="15" hidden="false" customHeight="false" outlineLevel="0" collapsed="false">
      <c r="A46" s="101" t="s">
        <v>974</v>
      </c>
      <c r="B46" s="101" t="s">
        <v>975</v>
      </c>
      <c r="C46" s="102" t="s">
        <v>948</v>
      </c>
      <c r="D46" s="103" t="n">
        <v>3836</v>
      </c>
      <c r="E46" s="104" t="n">
        <v>2893</v>
      </c>
      <c r="F46" s="102" t="n">
        <v>16</v>
      </c>
    </row>
    <row r="47" customFormat="false" ht="15" hidden="false" customHeight="false" outlineLevel="0" collapsed="false">
      <c r="A47" s="18" t="s">
        <v>976</v>
      </c>
      <c r="B47" s="18" t="s">
        <v>977</v>
      </c>
      <c r="C47" s="19" t="s">
        <v>21</v>
      </c>
      <c r="D47" s="20" t="n">
        <v>1000</v>
      </c>
      <c r="E47" s="21"/>
      <c r="F47" s="19" t="n">
        <v>16</v>
      </c>
    </row>
    <row r="48" customFormat="false" ht="15" hidden="false" customHeight="false" outlineLevel="0" collapsed="false">
      <c r="A48" s="101" t="s">
        <v>978</v>
      </c>
      <c r="B48" s="101" t="s">
        <v>979</v>
      </c>
      <c r="C48" s="102" t="s">
        <v>91</v>
      </c>
      <c r="D48" s="103"/>
      <c r="E48" s="104" t="n">
        <v>5663</v>
      </c>
      <c r="F48" s="102" t="n">
        <v>16</v>
      </c>
    </row>
    <row r="49" customFormat="false" ht="15" hidden="false" customHeight="false" outlineLevel="0" collapsed="false">
      <c r="D49" s="25"/>
    </row>
    <row r="50" customFormat="false" ht="15" hidden="false" customHeight="false" outlineLevel="0" collapsed="false">
      <c r="D50" s="25"/>
    </row>
    <row r="51" customFormat="false" ht="15" hidden="false" customHeight="false" outlineLevel="0" collapsed="false">
      <c r="A51" s="101"/>
      <c r="B51" s="2" t="s">
        <v>980</v>
      </c>
      <c r="D51" s="25"/>
    </row>
    <row r="52" customFormat="false" ht="15" hidden="false" customHeight="false" outlineLevel="0" collapsed="false">
      <c r="D52" s="25"/>
    </row>
    <row r="53" customFormat="false" ht="15" hidden="false" customHeight="false" outlineLevel="0" collapsed="false">
      <c r="D53" s="25"/>
    </row>
    <row r="54" customFormat="false" ht="15" hidden="false" customHeight="false" outlineLevel="0" collapsed="false">
      <c r="D54" s="25"/>
    </row>
    <row r="55" customFormat="false" ht="15" hidden="false" customHeight="false" outlineLevel="0" collapsed="false">
      <c r="D55" s="25"/>
    </row>
    <row r="56" customFormat="false" ht="15" hidden="false" customHeight="false" outlineLevel="0" collapsed="false">
      <c r="D56" s="25"/>
    </row>
    <row r="57" customFormat="false" ht="15" hidden="false" customHeight="false" outlineLevel="0" collapsed="false">
      <c r="D57" s="25"/>
    </row>
    <row r="58" customFormat="false" ht="15" hidden="false" customHeight="false" outlineLevel="0" collapsed="false">
      <c r="A58" s="1" t="s">
        <v>0</v>
      </c>
    </row>
    <row r="59" customFormat="false" ht="18.75" hidden="false" customHeight="false" outlineLevel="0" collapsed="false">
      <c r="A59" s="26" t="s">
        <v>981</v>
      </c>
      <c r="B59" s="26"/>
      <c r="C59" s="26"/>
      <c r="D59" s="26"/>
      <c r="E59" s="26"/>
      <c r="F59" s="26"/>
    </row>
    <row r="60" customFormat="false" ht="15.75" hidden="false" customHeight="false" outlineLevel="0" collapsed="false">
      <c r="B60" s="10" t="s">
        <v>57</v>
      </c>
      <c r="C60" s="10"/>
      <c r="D60" s="10"/>
      <c r="E60" s="10"/>
      <c r="F60" s="10"/>
    </row>
    <row r="61" customFormat="false" ht="15" hidden="false" customHeight="false" outlineLevel="0" collapsed="false">
      <c r="B61" s="27" t="s">
        <v>2</v>
      </c>
      <c r="C61" s="27"/>
      <c r="D61" s="27"/>
      <c r="E61" s="27"/>
      <c r="F61" s="27"/>
    </row>
    <row r="62" customFormat="false" ht="15" hidden="false" customHeight="false" outlineLevel="0" collapsed="false">
      <c r="B62" s="8" t="s">
        <v>3</v>
      </c>
      <c r="C62" s="8"/>
      <c r="D62" s="8"/>
      <c r="E62" s="8"/>
      <c r="F62" s="8"/>
    </row>
    <row r="63" customFormat="false" ht="15" hidden="false" customHeight="false" outlineLevel="0" collapsed="false">
      <c r="B63" s="8" t="s">
        <v>4</v>
      </c>
      <c r="C63" s="8"/>
      <c r="D63" s="8"/>
      <c r="E63" s="8"/>
      <c r="F63" s="8"/>
    </row>
    <row r="64" customFormat="false" ht="15" hidden="false" customHeight="false" outlineLevel="0" collapsed="false">
      <c r="B64" s="11" t="s">
        <v>904</v>
      </c>
      <c r="C64" s="11"/>
      <c r="D64" s="11"/>
      <c r="E64" s="11"/>
      <c r="F64" s="11"/>
    </row>
    <row r="65" customFormat="false" ht="15" hidden="false" customHeight="false" outlineLevel="0" collapsed="false">
      <c r="D65" s="25"/>
    </row>
    <row r="66" customFormat="false" ht="15.75" hidden="false" customHeight="false" outlineLevel="0" collapsed="false">
      <c r="A66" s="10" t="s">
        <v>982</v>
      </c>
      <c r="B66" s="10"/>
      <c r="C66" s="10"/>
      <c r="D66" s="10"/>
      <c r="E66" s="10"/>
      <c r="F66" s="10"/>
    </row>
    <row r="67" customFormat="false" ht="15" hidden="false" customHeight="false" outlineLevel="0" collapsed="false">
      <c r="A67" s="15" t="s">
        <v>7</v>
      </c>
      <c r="B67" s="16" t="s">
        <v>8</v>
      </c>
      <c r="C67" s="16" t="s">
        <v>9</v>
      </c>
      <c r="D67" s="16" t="s">
        <v>31</v>
      </c>
      <c r="E67" s="17" t="s">
        <v>10</v>
      </c>
      <c r="F67" s="16" t="s">
        <v>11</v>
      </c>
    </row>
    <row r="68" customFormat="false" ht="15" hidden="false" customHeight="false" outlineLevel="0" collapsed="false">
      <c r="A68" s="24"/>
      <c r="B68" s="18" t="s">
        <v>983</v>
      </c>
      <c r="C68" s="19" t="s">
        <v>171</v>
      </c>
      <c r="D68" s="19"/>
      <c r="E68" s="21" t="n">
        <v>6105</v>
      </c>
      <c r="F68" s="19" t="n">
        <v>16</v>
      </c>
    </row>
    <row r="69" customFormat="false" ht="15" hidden="false" customHeight="false" outlineLevel="0" collapsed="false">
      <c r="A69" s="18" t="s">
        <v>984</v>
      </c>
      <c r="B69" s="18" t="s">
        <v>985</v>
      </c>
      <c r="C69" s="19" t="s">
        <v>171</v>
      </c>
      <c r="D69" s="20" t="n">
        <v>7387</v>
      </c>
      <c r="E69" s="21" t="n">
        <v>7179</v>
      </c>
      <c r="F69" s="19" t="n">
        <v>16</v>
      </c>
    </row>
    <row r="70" customFormat="false" ht="15" hidden="false" customHeight="false" outlineLevel="0" collapsed="false">
      <c r="A70" s="18" t="s">
        <v>986</v>
      </c>
      <c r="B70" s="18" t="s">
        <v>987</v>
      </c>
      <c r="C70" s="19" t="s">
        <v>171</v>
      </c>
      <c r="D70" s="20" t="n">
        <v>5184</v>
      </c>
      <c r="E70" s="21" t="n">
        <v>5969</v>
      </c>
      <c r="F70" s="19" t="n">
        <v>16</v>
      </c>
    </row>
    <row r="71" customFormat="false" ht="15" hidden="false" customHeight="false" outlineLevel="0" collapsed="false">
      <c r="A71" s="18" t="s">
        <v>988</v>
      </c>
      <c r="B71" s="18" t="s">
        <v>989</v>
      </c>
      <c r="C71" s="19" t="s">
        <v>171</v>
      </c>
      <c r="D71" s="20" t="n">
        <v>3156</v>
      </c>
      <c r="E71" s="21" t="n">
        <v>2929</v>
      </c>
      <c r="F71" s="19" t="n">
        <v>16</v>
      </c>
    </row>
    <row r="72" customFormat="false" ht="15" hidden="false" customHeight="false" outlineLevel="0" collapsed="false">
      <c r="A72" s="18" t="s">
        <v>990</v>
      </c>
      <c r="B72" s="18" t="s">
        <v>991</v>
      </c>
      <c r="C72" s="19" t="s">
        <v>171</v>
      </c>
      <c r="D72" s="20" t="n">
        <v>4880</v>
      </c>
      <c r="E72" s="21" t="n">
        <v>4439</v>
      </c>
      <c r="F72" s="19" t="n">
        <v>16</v>
      </c>
    </row>
    <row r="73" customFormat="false" ht="15" hidden="false" customHeight="false" outlineLevel="0" collapsed="false">
      <c r="A73" s="18" t="s">
        <v>992</v>
      </c>
      <c r="B73" s="18" t="s">
        <v>993</v>
      </c>
      <c r="C73" s="19" t="s">
        <v>14</v>
      </c>
      <c r="D73" s="20" t="n">
        <v>1834</v>
      </c>
      <c r="E73" s="21" t="n">
        <v>1581</v>
      </c>
      <c r="F73" s="19" t="n">
        <v>16</v>
      </c>
    </row>
    <row r="74" customFormat="false" ht="15" hidden="false" customHeight="false" outlineLevel="0" collapsed="false">
      <c r="A74" s="18" t="s">
        <v>994</v>
      </c>
      <c r="B74" s="18" t="s">
        <v>995</v>
      </c>
      <c r="C74" s="19" t="s">
        <v>171</v>
      </c>
      <c r="D74" s="20" t="n">
        <v>6853</v>
      </c>
      <c r="E74" s="21" t="n">
        <v>6359</v>
      </c>
      <c r="F74" s="19" t="n">
        <v>16</v>
      </c>
    </row>
    <row r="75" customFormat="false" ht="15" hidden="false" customHeight="false" outlineLevel="0" collapsed="false">
      <c r="A75" s="18" t="s">
        <v>996</v>
      </c>
      <c r="B75" s="18" t="s">
        <v>997</v>
      </c>
      <c r="C75" s="19" t="s">
        <v>925</v>
      </c>
      <c r="D75" s="20" t="n">
        <v>3357</v>
      </c>
      <c r="E75" s="21" t="n">
        <v>3107</v>
      </c>
      <c r="F75" s="19" t="n">
        <v>16</v>
      </c>
    </row>
    <row r="76" customFormat="false" ht="15" hidden="false" customHeight="false" outlineLevel="0" collapsed="false">
      <c r="A76" s="24"/>
      <c r="B76" s="18" t="s">
        <v>998</v>
      </c>
      <c r="C76" s="19" t="s">
        <v>171</v>
      </c>
      <c r="D76" s="105" t="n">
        <v>11119</v>
      </c>
      <c r="E76" s="21" t="n">
        <v>10316</v>
      </c>
      <c r="F76" s="19" t="n">
        <v>16</v>
      </c>
    </row>
    <row r="77" customFormat="false" ht="15" hidden="false" customHeight="false" outlineLevel="0" collapsed="false">
      <c r="A77" s="24"/>
      <c r="B77" s="18" t="s">
        <v>999</v>
      </c>
      <c r="C77" s="19" t="s">
        <v>171</v>
      </c>
      <c r="D77" s="105" t="n">
        <v>13125</v>
      </c>
      <c r="E77" s="21" t="n">
        <v>11881</v>
      </c>
      <c r="F77" s="19" t="n">
        <v>16</v>
      </c>
    </row>
    <row r="78" customFormat="false" ht="15" hidden="false" customHeight="false" outlineLevel="0" collapsed="false">
      <c r="B78" s="106" t="s">
        <v>1000</v>
      </c>
      <c r="C78" s="19" t="s">
        <v>171</v>
      </c>
      <c r="D78" s="107" t="n">
        <v>8102</v>
      </c>
      <c r="E78" s="21" t="n">
        <v>7665</v>
      </c>
      <c r="F78" s="19" t="n">
        <v>16</v>
      </c>
    </row>
    <row r="79" customFormat="false" ht="15" hidden="false" customHeight="false" outlineLevel="0" collapsed="false">
      <c r="A79" s="18" t="s">
        <v>1001</v>
      </c>
      <c r="B79" s="18" t="s">
        <v>1002</v>
      </c>
      <c r="C79" s="19" t="s">
        <v>171</v>
      </c>
      <c r="D79" s="20" t="n">
        <v>5359</v>
      </c>
      <c r="E79" s="21" t="n">
        <v>5069</v>
      </c>
      <c r="F79" s="19" t="n">
        <v>16</v>
      </c>
    </row>
    <row r="80" customFormat="false" ht="15" hidden="false" customHeight="false" outlineLevel="0" collapsed="false">
      <c r="A80" s="18" t="s">
        <v>1003</v>
      </c>
      <c r="B80" s="18" t="s">
        <v>1004</v>
      </c>
      <c r="C80" s="19" t="s">
        <v>925</v>
      </c>
      <c r="D80" s="20" t="n">
        <v>3357</v>
      </c>
      <c r="E80" s="21" t="n">
        <v>3107</v>
      </c>
      <c r="F80" s="19" t="n">
        <v>16</v>
      </c>
    </row>
    <row r="81" customFormat="false" ht="15" hidden="false" customHeight="false" outlineLevel="0" collapsed="false">
      <c r="A81" s="18" t="s">
        <v>1005</v>
      </c>
      <c r="B81" s="18" t="s">
        <v>1006</v>
      </c>
      <c r="C81" s="19" t="s">
        <v>925</v>
      </c>
      <c r="D81" s="20" t="n">
        <v>3357</v>
      </c>
      <c r="E81" s="21" t="n">
        <v>3107</v>
      </c>
      <c r="F81" s="19" t="n">
        <v>16</v>
      </c>
    </row>
    <row r="82" customFormat="false" ht="15" hidden="false" customHeight="false" outlineLevel="0" collapsed="false">
      <c r="A82" s="18" t="s">
        <v>1007</v>
      </c>
      <c r="B82" s="18" t="s">
        <v>1008</v>
      </c>
      <c r="C82" s="19" t="s">
        <v>14</v>
      </c>
      <c r="D82" s="20" t="n">
        <v>1667</v>
      </c>
      <c r="E82" s="21" t="n">
        <v>1581</v>
      </c>
      <c r="F82" s="19" t="n">
        <v>16</v>
      </c>
    </row>
    <row r="83" customFormat="false" ht="15" hidden="false" customHeight="false" outlineLevel="0" collapsed="false">
      <c r="A83" s="18" t="s">
        <v>1009</v>
      </c>
      <c r="B83" s="18" t="s">
        <v>1010</v>
      </c>
      <c r="C83" s="19" t="s">
        <v>171</v>
      </c>
      <c r="D83" s="20" t="n">
        <v>5809</v>
      </c>
      <c r="E83" s="21" t="n">
        <v>5494</v>
      </c>
      <c r="F83" s="19" t="n">
        <v>16</v>
      </c>
    </row>
    <row r="84" customFormat="false" ht="15" hidden="false" customHeight="false" outlineLevel="0" collapsed="false">
      <c r="B84" s="106" t="s">
        <v>1011</v>
      </c>
      <c r="C84" s="19" t="s">
        <v>171</v>
      </c>
      <c r="D84" s="107" t="n">
        <v>7890</v>
      </c>
      <c r="E84" s="21" t="n">
        <v>4175</v>
      </c>
      <c r="F84" s="19" t="n">
        <v>16</v>
      </c>
    </row>
    <row r="85" customFormat="false" ht="15" hidden="false" customHeight="false" outlineLevel="0" collapsed="false">
      <c r="A85" s="18" t="s">
        <v>1012</v>
      </c>
      <c r="B85" s="18" t="s">
        <v>1013</v>
      </c>
      <c r="C85" s="19" t="s">
        <v>171</v>
      </c>
      <c r="D85" s="20" t="n">
        <v>12436</v>
      </c>
      <c r="E85" s="21" t="n">
        <v>11878</v>
      </c>
      <c r="F85" s="19" t="n">
        <v>16</v>
      </c>
    </row>
    <row r="86" customFormat="false" ht="15" hidden="false" customHeight="false" outlineLevel="0" collapsed="false">
      <c r="D86" s="25"/>
      <c r="E86" s="4" t="s">
        <v>0</v>
      </c>
    </row>
    <row r="87" customFormat="false" ht="15.75" hidden="false" customHeight="false" outlineLevel="0" collapsed="false">
      <c r="A87" s="108" t="s">
        <v>1014</v>
      </c>
      <c r="B87" s="108"/>
      <c r="C87" s="109"/>
      <c r="D87" s="109"/>
      <c r="E87" s="110"/>
      <c r="F87" s="109"/>
    </row>
    <row r="88" customFormat="false" ht="15" hidden="false" customHeight="false" outlineLevel="0" collapsed="false">
      <c r="A88" s="18" t="s">
        <v>1015</v>
      </c>
      <c r="B88" s="18" t="s">
        <v>1016</v>
      </c>
      <c r="C88" s="19" t="s">
        <v>51</v>
      </c>
      <c r="D88" s="20" t="n">
        <v>1766</v>
      </c>
      <c r="E88" s="21" t="n">
        <f aca="false">SUM(D88)/1.16</f>
        <v>1522.41379310345</v>
      </c>
      <c r="F88" s="19" t="n">
        <v>16</v>
      </c>
    </row>
    <row r="89" customFormat="false" ht="15" hidden="false" customHeight="false" outlineLevel="0" collapsed="false">
      <c r="A89" s="18" t="s">
        <v>1017</v>
      </c>
      <c r="B89" s="18" t="s">
        <v>1018</v>
      </c>
      <c r="C89" s="19" t="s">
        <v>51</v>
      </c>
      <c r="D89" s="20" t="n">
        <v>3023</v>
      </c>
      <c r="E89" s="21" t="n">
        <f aca="false">SUM(D89)/1.16</f>
        <v>2606.03448275862</v>
      </c>
      <c r="F89" s="19" t="n">
        <v>16</v>
      </c>
    </row>
    <row r="90" customFormat="false" ht="15" hidden="false" customHeight="false" outlineLevel="0" collapsed="false">
      <c r="A90" s="18" t="s">
        <v>1019</v>
      </c>
      <c r="B90" s="18" t="s">
        <v>1020</v>
      </c>
      <c r="C90" s="19" t="s">
        <v>51</v>
      </c>
      <c r="D90" s="20" t="n">
        <v>67700</v>
      </c>
      <c r="E90" s="21" t="n">
        <v>58400</v>
      </c>
      <c r="F90" s="19" t="n">
        <v>16</v>
      </c>
    </row>
    <row r="91" customFormat="false" ht="15" hidden="false" customHeight="false" outlineLevel="0" collapsed="false">
      <c r="D91" s="25"/>
    </row>
    <row r="92" customFormat="false" ht="15" hidden="false" customHeight="false" outlineLevel="0" collapsed="false">
      <c r="D92" s="25"/>
    </row>
    <row r="93" customFormat="false" ht="15.75" hidden="false" customHeight="false" outlineLevel="0" collapsed="false">
      <c r="A93" s="109" t="s">
        <v>1021</v>
      </c>
      <c r="C93" s="109"/>
      <c r="D93" s="109"/>
      <c r="E93" s="110"/>
      <c r="F93" s="109"/>
    </row>
    <row r="94" customFormat="false" ht="15" hidden="false" customHeight="false" outlineLevel="0" collapsed="false">
      <c r="A94" s="15" t="s">
        <v>7</v>
      </c>
      <c r="B94" s="16" t="s">
        <v>8</v>
      </c>
      <c r="C94" s="16" t="s">
        <v>9</v>
      </c>
      <c r="D94" s="16" t="s">
        <v>31</v>
      </c>
      <c r="E94" s="17" t="s">
        <v>10</v>
      </c>
      <c r="F94" s="16" t="s">
        <v>11</v>
      </c>
    </row>
    <row r="95" customFormat="false" ht="15" hidden="false" customHeight="false" outlineLevel="0" collapsed="false">
      <c r="A95" s="18" t="s">
        <v>1022</v>
      </c>
      <c r="B95" s="18" t="s">
        <v>1023</v>
      </c>
      <c r="C95" s="19" t="s">
        <v>948</v>
      </c>
      <c r="D95" s="20" t="n">
        <v>5357</v>
      </c>
      <c r="E95" s="21" t="n">
        <v>6353</v>
      </c>
      <c r="F95" s="19" t="n">
        <v>0</v>
      </c>
    </row>
    <row r="96" customFormat="false" ht="15" hidden="false" customHeight="false" outlineLevel="0" collapsed="false">
      <c r="A96" s="18" t="s">
        <v>1024</v>
      </c>
      <c r="B96" s="18" t="s">
        <v>1025</v>
      </c>
      <c r="C96" s="19" t="s">
        <v>948</v>
      </c>
      <c r="D96" s="20" t="n">
        <v>10000</v>
      </c>
      <c r="E96" s="21" t="n">
        <v>12235</v>
      </c>
      <c r="F96" s="19" t="n">
        <v>0</v>
      </c>
    </row>
    <row r="97" customFormat="false" ht="15" hidden="false" customHeight="false" outlineLevel="0" collapsed="false">
      <c r="A97" s="18" t="s">
        <v>1026</v>
      </c>
      <c r="B97" s="18" t="s">
        <v>1027</v>
      </c>
      <c r="C97" s="19" t="s">
        <v>948</v>
      </c>
      <c r="D97" s="20" t="n">
        <v>25952</v>
      </c>
      <c r="E97" s="21" t="n">
        <v>23529</v>
      </c>
      <c r="F97" s="19" t="n">
        <v>0</v>
      </c>
    </row>
    <row r="98" customFormat="false" ht="15" hidden="false" customHeight="false" outlineLevel="0" collapsed="false">
      <c r="A98" s="18" t="s">
        <v>1028</v>
      </c>
      <c r="B98" s="18" t="s">
        <v>1029</v>
      </c>
      <c r="C98" s="19" t="s">
        <v>26</v>
      </c>
      <c r="D98" s="20" t="n">
        <v>2560</v>
      </c>
      <c r="E98" s="21" t="n">
        <v>3059</v>
      </c>
      <c r="F98" s="19" t="n">
        <v>0</v>
      </c>
    </row>
    <row r="103" customFormat="false" ht="15" hidden="false" customHeight="false" outlineLevel="0" collapsed="false">
      <c r="D103" s="25"/>
    </row>
    <row r="104" customFormat="false" ht="18.75" hidden="false" customHeight="false" outlineLevel="0" collapsed="false">
      <c r="A104" s="26" t="s">
        <v>981</v>
      </c>
      <c r="B104" s="26"/>
      <c r="C104" s="26"/>
      <c r="D104" s="26"/>
      <c r="E104" s="26"/>
      <c r="F104" s="26"/>
    </row>
    <row r="105" customFormat="false" ht="15.75" hidden="false" customHeight="false" outlineLevel="0" collapsed="false">
      <c r="B105" s="10" t="s">
        <v>1030</v>
      </c>
      <c r="C105" s="10"/>
      <c r="D105" s="10"/>
      <c r="E105" s="10"/>
      <c r="F105" s="109"/>
    </row>
    <row r="106" customFormat="false" ht="15" hidden="false" customHeight="false" outlineLevel="0" collapsed="false">
      <c r="B106" s="27" t="s">
        <v>1031</v>
      </c>
      <c r="C106" s="27"/>
      <c r="D106" s="27"/>
      <c r="E106" s="27"/>
      <c r="F106" s="111"/>
    </row>
    <row r="107" customFormat="false" ht="15" hidden="false" customHeight="false" outlineLevel="0" collapsed="false">
      <c r="B107" s="8" t="s">
        <v>1032</v>
      </c>
      <c r="C107" s="8"/>
      <c r="D107" s="8"/>
      <c r="E107" s="8"/>
      <c r="F107" s="112"/>
    </row>
    <row r="108" customFormat="false" ht="15" hidden="false" customHeight="false" outlineLevel="0" collapsed="false">
      <c r="B108" s="8" t="s">
        <v>4</v>
      </c>
      <c r="C108" s="8"/>
      <c r="D108" s="8"/>
      <c r="E108" s="8"/>
      <c r="F108" s="8"/>
    </row>
    <row r="110" customFormat="false" ht="15" hidden="false" customHeight="false" outlineLevel="0" collapsed="false">
      <c r="B110" s="11" t="s">
        <v>904</v>
      </c>
      <c r="C110" s="11"/>
      <c r="D110" s="11"/>
      <c r="E110" s="11"/>
      <c r="F110" s="11"/>
    </row>
    <row r="113" customFormat="false" ht="15.75" hidden="false" customHeight="false" outlineLevel="0" collapsed="false">
      <c r="A113" s="113" t="s">
        <v>1033</v>
      </c>
      <c r="B113" s="113"/>
      <c r="C113" s="113"/>
      <c r="D113" s="113"/>
      <c r="E113" s="113"/>
      <c r="F113" s="113"/>
    </row>
    <row r="114" customFormat="false" ht="15" hidden="false" customHeight="false" outlineLevel="0" collapsed="false">
      <c r="A114" s="15" t="s">
        <v>7</v>
      </c>
      <c r="B114" s="16" t="s">
        <v>8</v>
      </c>
      <c r="C114" s="16" t="s">
        <v>9</v>
      </c>
      <c r="D114" s="16" t="s">
        <v>31</v>
      </c>
      <c r="E114" s="17" t="s">
        <v>10</v>
      </c>
      <c r="F114" s="16" t="s">
        <v>11</v>
      </c>
    </row>
    <row r="115" customFormat="false" ht="15" hidden="false" customHeight="false" outlineLevel="0" collapsed="false">
      <c r="A115" s="18" t="s">
        <v>1034</v>
      </c>
      <c r="B115" s="18" t="s">
        <v>1035</v>
      </c>
      <c r="C115" s="19" t="s">
        <v>21</v>
      </c>
      <c r="D115" s="20" t="n">
        <v>12466</v>
      </c>
      <c r="E115" s="21" t="n">
        <v>11961</v>
      </c>
      <c r="F115" s="19" t="n">
        <v>16</v>
      </c>
    </row>
    <row r="116" customFormat="false" ht="15" hidden="false" customHeight="false" outlineLevel="0" collapsed="false">
      <c r="A116" s="18" t="s">
        <v>1036</v>
      </c>
      <c r="B116" s="18" t="s">
        <v>1037</v>
      </c>
      <c r="C116" s="19" t="s">
        <v>21</v>
      </c>
      <c r="D116" s="20" t="n">
        <v>17855</v>
      </c>
      <c r="E116" s="21" t="n">
        <v>17066</v>
      </c>
      <c r="F116" s="19" t="n">
        <v>16</v>
      </c>
    </row>
    <row r="117" customFormat="false" ht="15" hidden="false" customHeight="false" outlineLevel="0" collapsed="false">
      <c r="A117" s="18" t="s">
        <v>1038</v>
      </c>
      <c r="B117" s="18" t="s">
        <v>1039</v>
      </c>
      <c r="C117" s="19" t="s">
        <v>21</v>
      </c>
      <c r="D117" s="20" t="n">
        <v>21541</v>
      </c>
      <c r="E117" s="21" t="n">
        <v>12988</v>
      </c>
      <c r="F117" s="19" t="n">
        <v>16</v>
      </c>
    </row>
    <row r="118" customFormat="false" ht="15" hidden="false" customHeight="false" outlineLevel="0" collapsed="false">
      <c r="A118" s="18" t="s">
        <v>1040</v>
      </c>
      <c r="B118" s="18" t="s">
        <v>1041</v>
      </c>
      <c r="C118" s="19" t="s">
        <v>21</v>
      </c>
      <c r="D118" s="20" t="n">
        <v>11339</v>
      </c>
      <c r="E118" s="21" t="n">
        <v>10827</v>
      </c>
      <c r="F118" s="19" t="n">
        <v>16</v>
      </c>
    </row>
    <row r="119" customFormat="false" ht="15" hidden="false" customHeight="false" outlineLevel="0" collapsed="false">
      <c r="A119" s="24"/>
      <c r="B119" s="18" t="s">
        <v>1042</v>
      </c>
      <c r="C119" s="19" t="s">
        <v>14</v>
      </c>
      <c r="D119" s="19"/>
      <c r="E119" s="21" t="n">
        <v>13522</v>
      </c>
      <c r="F119" s="19" t="n">
        <v>16</v>
      </c>
    </row>
    <row r="120" customFormat="false" ht="15" hidden="false" customHeight="false" outlineLevel="0" collapsed="false">
      <c r="A120" s="24"/>
      <c r="B120" s="18" t="s">
        <v>1043</v>
      </c>
      <c r="C120" s="19" t="s">
        <v>14</v>
      </c>
      <c r="D120" s="19"/>
      <c r="E120" s="21" t="n">
        <v>15365</v>
      </c>
      <c r="F120" s="19" t="n">
        <v>16</v>
      </c>
    </row>
    <row r="121" customFormat="false" ht="15" hidden="false" customHeight="false" outlineLevel="0" collapsed="false">
      <c r="A121" s="24"/>
      <c r="B121" s="18" t="s">
        <v>1044</v>
      </c>
      <c r="C121" s="19" t="s">
        <v>14</v>
      </c>
      <c r="D121" s="19"/>
      <c r="E121" s="21" t="n">
        <v>15806</v>
      </c>
      <c r="F121" s="19" t="n">
        <v>16</v>
      </c>
    </row>
    <row r="124" customFormat="false" ht="15.75" hidden="false" customHeight="false" outlineLevel="0" collapsed="false">
      <c r="A124" s="113" t="s">
        <v>1045</v>
      </c>
      <c r="B124" s="113"/>
      <c r="C124" s="113"/>
      <c r="D124" s="113"/>
      <c r="E124" s="113"/>
      <c r="F124" s="113"/>
    </row>
    <row r="125" customFormat="false" ht="15" hidden="false" customHeight="false" outlineLevel="0" collapsed="false">
      <c r="A125" s="15" t="s">
        <v>7</v>
      </c>
      <c r="B125" s="16" t="s">
        <v>8</v>
      </c>
      <c r="C125" s="16" t="s">
        <v>9</v>
      </c>
      <c r="D125" s="16" t="s">
        <v>31</v>
      </c>
      <c r="E125" s="17" t="s">
        <v>10</v>
      </c>
      <c r="F125" s="16" t="s">
        <v>11</v>
      </c>
    </row>
    <row r="126" customFormat="false" ht="15" hidden="false" customHeight="false" outlineLevel="0" collapsed="false">
      <c r="A126" s="18" t="s">
        <v>1046</v>
      </c>
      <c r="B126" s="18" t="s">
        <v>1047</v>
      </c>
      <c r="C126" s="19" t="s">
        <v>286</v>
      </c>
      <c r="D126" s="20"/>
      <c r="E126" s="21"/>
      <c r="F126" s="19" t="n">
        <v>0</v>
      </c>
    </row>
    <row r="129" customFormat="false" ht="15.75" hidden="false" customHeight="false" outlineLevel="0" collapsed="false">
      <c r="A129" s="10" t="s">
        <v>1048</v>
      </c>
      <c r="B129" s="10"/>
      <c r="C129" s="10"/>
      <c r="D129" s="10"/>
      <c r="E129" s="10"/>
      <c r="F129" s="10"/>
    </row>
    <row r="130" customFormat="false" ht="15.75" hidden="false" customHeight="false" outlineLevel="0" collapsed="false">
      <c r="A130" s="109"/>
      <c r="B130" s="109"/>
      <c r="C130" s="109"/>
      <c r="D130" s="109"/>
      <c r="E130" s="110"/>
      <c r="F130" s="109"/>
    </row>
    <row r="131" customFormat="false" ht="15" hidden="false" customHeight="false" outlineLevel="0" collapsed="false">
      <c r="A131" s="14" t="s">
        <v>1049</v>
      </c>
      <c r="B131" s="14"/>
      <c r="C131" s="14"/>
      <c r="D131" s="14"/>
      <c r="E131" s="14"/>
      <c r="F131" s="14"/>
    </row>
    <row r="132" customFormat="false" ht="15" hidden="false" customHeight="false" outlineLevel="0" collapsed="false">
      <c r="A132" s="15" t="s">
        <v>7</v>
      </c>
      <c r="B132" s="16" t="s">
        <v>8</v>
      </c>
      <c r="C132" s="16" t="s">
        <v>9</v>
      </c>
      <c r="D132" s="16" t="s">
        <v>31</v>
      </c>
      <c r="E132" s="17" t="s">
        <v>10</v>
      </c>
      <c r="F132" s="16" t="s">
        <v>11</v>
      </c>
    </row>
    <row r="133" customFormat="false" ht="15" hidden="false" customHeight="false" outlineLevel="0" collapsed="false">
      <c r="A133" s="18" t="s">
        <v>1050</v>
      </c>
      <c r="B133" s="18" t="s">
        <v>1051</v>
      </c>
      <c r="C133" s="19" t="s">
        <v>286</v>
      </c>
      <c r="D133" s="20" t="n">
        <v>5186</v>
      </c>
      <c r="E133" s="21" t="n">
        <f aca="false">SUM(D133)/1.16</f>
        <v>4470.68965517241</v>
      </c>
      <c r="F133" s="19" t="n">
        <v>16</v>
      </c>
    </row>
    <row r="134" customFormat="false" ht="15" hidden="false" customHeight="false" outlineLevel="0" collapsed="false">
      <c r="A134" s="18" t="s">
        <v>1052</v>
      </c>
      <c r="B134" s="18" t="s">
        <v>1053</v>
      </c>
      <c r="C134" s="19" t="s">
        <v>286</v>
      </c>
      <c r="D134" s="20"/>
      <c r="E134" s="21"/>
      <c r="F134" s="19" t="n">
        <v>16</v>
      </c>
    </row>
    <row r="135" customFormat="false" ht="15" hidden="false" customHeight="false" outlineLevel="0" collapsed="false">
      <c r="A135" s="18" t="s">
        <v>1054</v>
      </c>
      <c r="B135" s="18" t="s">
        <v>1055</v>
      </c>
      <c r="C135" s="19" t="s">
        <v>1056</v>
      </c>
      <c r="D135" s="20"/>
      <c r="E135" s="21"/>
      <c r="F135" s="19" t="n">
        <v>10</v>
      </c>
    </row>
    <row r="136" customFormat="false" ht="15" hidden="false" customHeight="false" outlineLevel="0" collapsed="false">
      <c r="A136" s="18" t="s">
        <v>1057</v>
      </c>
      <c r="B136" s="18" t="s">
        <v>1058</v>
      </c>
      <c r="C136" s="19" t="s">
        <v>1056</v>
      </c>
      <c r="D136" s="20" t="n">
        <v>8463</v>
      </c>
      <c r="E136" s="21" t="n">
        <v>8471</v>
      </c>
      <c r="F136" s="19" t="n">
        <v>10</v>
      </c>
    </row>
    <row r="137" customFormat="false" ht="15" hidden="false" customHeight="false" outlineLevel="0" collapsed="false">
      <c r="A137" s="18" t="s">
        <v>1059</v>
      </c>
      <c r="B137" s="18" t="s">
        <v>1060</v>
      </c>
      <c r="C137" s="19" t="s">
        <v>1056</v>
      </c>
      <c r="D137" s="20" t="n">
        <v>21353</v>
      </c>
      <c r="E137" s="21" t="n">
        <f aca="false">SUM(D137)/1.1</f>
        <v>19411.8181818182</v>
      </c>
      <c r="F137" s="19" t="n">
        <v>10</v>
      </c>
    </row>
    <row r="138" customFormat="false" ht="15" hidden="false" customHeight="false" outlineLevel="0" collapsed="false">
      <c r="A138" s="18" t="s">
        <v>1061</v>
      </c>
      <c r="B138" s="18" t="s">
        <v>1062</v>
      </c>
      <c r="C138" s="19" t="s">
        <v>1056</v>
      </c>
      <c r="D138" s="20" t="n">
        <v>10612</v>
      </c>
      <c r="E138" s="21" t="n">
        <f aca="false">SUM(D138)/1.1</f>
        <v>9647.27272727273</v>
      </c>
      <c r="F138" s="19" t="n">
        <v>10</v>
      </c>
    </row>
    <row r="139" customFormat="false" ht="15" hidden="false" customHeight="false" outlineLevel="0" collapsed="false">
      <c r="A139" s="18" t="s">
        <v>1063</v>
      </c>
      <c r="B139" s="18" t="s">
        <v>1064</v>
      </c>
      <c r="C139" s="19" t="s">
        <v>1056</v>
      </c>
      <c r="D139" s="20" t="n">
        <v>10612</v>
      </c>
      <c r="E139" s="21" t="n">
        <f aca="false">SUM(D139)/1.1</f>
        <v>9647.27272727273</v>
      </c>
      <c r="F139" s="19" t="n">
        <v>10</v>
      </c>
    </row>
    <row r="140" customFormat="false" ht="15" hidden="false" customHeight="false" outlineLevel="0" collapsed="false">
      <c r="A140" s="18" t="s">
        <v>1065</v>
      </c>
      <c r="B140" s="18" t="s">
        <v>1066</v>
      </c>
      <c r="C140" s="19" t="s">
        <v>286</v>
      </c>
      <c r="D140" s="20" t="n">
        <v>4603</v>
      </c>
      <c r="E140" s="21"/>
      <c r="F140" s="19" t="n">
        <v>16</v>
      </c>
    </row>
    <row r="141" customFormat="false" ht="15" hidden="false" customHeight="false" outlineLevel="0" collapsed="false">
      <c r="A141" s="18" t="s">
        <v>1067</v>
      </c>
      <c r="B141" s="18" t="s">
        <v>1068</v>
      </c>
      <c r="C141" s="19" t="s">
        <v>286</v>
      </c>
      <c r="D141" s="20" t="n">
        <v>4603</v>
      </c>
      <c r="E141" s="21"/>
      <c r="F141" s="19" t="n">
        <v>16</v>
      </c>
    </row>
    <row r="142" customFormat="false" ht="15" hidden="false" customHeight="false" outlineLevel="0" collapsed="false">
      <c r="A142" s="18" t="s">
        <v>1069</v>
      </c>
      <c r="B142" s="18" t="s">
        <v>1070</v>
      </c>
      <c r="C142" s="19" t="s">
        <v>286</v>
      </c>
      <c r="D142" s="20" t="n">
        <v>4802</v>
      </c>
      <c r="E142" s="21"/>
      <c r="F142" s="19" t="n">
        <v>16</v>
      </c>
    </row>
    <row r="144" customFormat="false" ht="15" hidden="false" customHeight="false" outlineLevel="0" collapsed="false">
      <c r="A144" s="14" t="s">
        <v>1071</v>
      </c>
      <c r="B144" s="14"/>
      <c r="C144" s="14"/>
      <c r="D144" s="14"/>
      <c r="E144" s="14"/>
      <c r="F144" s="14"/>
    </row>
    <row r="145" customFormat="false" ht="15" hidden="false" customHeight="false" outlineLevel="0" collapsed="false">
      <c r="A145" s="15" t="s">
        <v>7</v>
      </c>
      <c r="B145" s="16" t="s">
        <v>8</v>
      </c>
      <c r="C145" s="16" t="s">
        <v>9</v>
      </c>
      <c r="D145" s="16" t="s">
        <v>31</v>
      </c>
      <c r="E145" s="17" t="s">
        <v>10</v>
      </c>
      <c r="F145" s="16" t="s">
        <v>11</v>
      </c>
    </row>
    <row r="146" customFormat="false" ht="15" hidden="false" customHeight="false" outlineLevel="0" collapsed="false">
      <c r="A146" s="18"/>
      <c r="B146" s="18"/>
      <c r="C146" s="18"/>
      <c r="D146" s="19" t="s">
        <v>14</v>
      </c>
      <c r="E146" s="20"/>
      <c r="F146" s="21"/>
    </row>
    <row r="147" customFormat="false" ht="15" hidden="false" customHeight="false" outlineLevel="0" collapsed="false">
      <c r="A147" s="18" t="s">
        <v>1072</v>
      </c>
      <c r="B147" s="18" t="s">
        <v>1073</v>
      </c>
      <c r="C147" s="19" t="s">
        <v>14</v>
      </c>
      <c r="D147" s="20" t="n">
        <v>11177</v>
      </c>
      <c r="E147" s="21" t="n">
        <v>10611</v>
      </c>
      <c r="F147" s="19" t="n">
        <v>16</v>
      </c>
    </row>
    <row r="148" customFormat="false" ht="15" hidden="false" customHeight="false" outlineLevel="0" collapsed="false">
      <c r="A148" s="18"/>
      <c r="B148" s="18"/>
      <c r="C148" s="19"/>
      <c r="D148" s="20"/>
      <c r="E148" s="21"/>
      <c r="F148" s="19"/>
    </row>
    <row r="153" customFormat="false" ht="15.75" hidden="false" customHeight="false" outlineLevel="0" collapsed="false">
      <c r="A153" s="5" t="s">
        <v>0</v>
      </c>
      <c r="B153" s="5"/>
      <c r="C153" s="5"/>
      <c r="D153" s="5"/>
      <c r="E153" s="5"/>
      <c r="F153" s="5"/>
    </row>
    <row r="154" customFormat="false" ht="18.75" hidden="false" customHeight="false" outlineLevel="0" collapsed="false">
      <c r="B154" s="6" t="s">
        <v>1</v>
      </c>
      <c r="C154" s="6"/>
      <c r="D154" s="6"/>
      <c r="E154" s="6"/>
      <c r="F154" s="6"/>
    </row>
    <row r="155" customFormat="false" ht="15" hidden="false" customHeight="false" outlineLevel="0" collapsed="false">
      <c r="B155" s="27" t="s">
        <v>2</v>
      </c>
      <c r="C155" s="27"/>
      <c r="D155" s="27"/>
      <c r="E155" s="27"/>
      <c r="F155" s="27"/>
    </row>
    <row r="156" customFormat="false" ht="15" hidden="false" customHeight="false" outlineLevel="0" collapsed="false">
      <c r="B156" s="8" t="s">
        <v>3</v>
      </c>
      <c r="C156" s="8"/>
      <c r="D156" s="8"/>
      <c r="E156" s="8"/>
      <c r="F156" s="8"/>
    </row>
    <row r="157" customFormat="false" ht="15" hidden="false" customHeight="false" outlineLevel="0" collapsed="false">
      <c r="B157" s="8" t="s">
        <v>4</v>
      </c>
      <c r="C157" s="8"/>
      <c r="D157" s="8"/>
      <c r="E157" s="8"/>
      <c r="F157" s="8"/>
    </row>
    <row r="158" customFormat="false" ht="15" hidden="false" customHeight="false" outlineLevel="0" collapsed="false">
      <c r="B158" s="11" t="s">
        <v>0</v>
      </c>
      <c r="C158" s="11"/>
      <c r="D158" s="11"/>
      <c r="E158" s="11"/>
      <c r="F158" s="11"/>
    </row>
    <row r="159" customFormat="false" ht="15" hidden="false" customHeight="false" outlineLevel="0" collapsed="false">
      <c r="B159" s="8" t="s">
        <v>904</v>
      </c>
      <c r="C159" s="8"/>
      <c r="D159" s="8"/>
      <c r="E159" s="8"/>
      <c r="F159" s="8"/>
    </row>
    <row r="160" customFormat="false" ht="15" hidden="false" customHeight="false" outlineLevel="0" collapsed="false">
      <c r="D160" s="25"/>
    </row>
    <row r="161" customFormat="false" ht="15" hidden="false" customHeight="false" outlineLevel="0" collapsed="false">
      <c r="A161" s="114"/>
      <c r="B161" s="115" t="s">
        <v>1074</v>
      </c>
      <c r="C161" s="115"/>
      <c r="D161" s="115"/>
      <c r="E161" s="115"/>
      <c r="F161" s="115"/>
    </row>
    <row r="162" customFormat="false" ht="15.75" hidden="false" customHeight="false" outlineLevel="0" collapsed="false">
      <c r="A162" s="109"/>
      <c r="B162" s="109"/>
      <c r="C162" s="109"/>
      <c r="D162" s="109"/>
      <c r="E162" s="110"/>
      <c r="F162" s="109"/>
    </row>
    <row r="163" customFormat="false" ht="15" hidden="false" customHeight="false" outlineLevel="0" collapsed="false">
      <c r="A163" s="15" t="s">
        <v>7</v>
      </c>
      <c r="B163" s="16" t="s">
        <v>8</v>
      </c>
      <c r="C163" s="16" t="s">
        <v>9</v>
      </c>
      <c r="D163" s="16" t="s">
        <v>31</v>
      </c>
      <c r="E163" s="17" t="s">
        <v>10</v>
      </c>
      <c r="F163" s="16" t="s">
        <v>11</v>
      </c>
    </row>
    <row r="164" customFormat="false" ht="15" hidden="false" customHeight="false" outlineLevel="0" collapsed="false">
      <c r="A164" s="18" t="s">
        <v>1075</v>
      </c>
      <c r="B164" s="18" t="s">
        <v>1076</v>
      </c>
      <c r="C164" s="19" t="s">
        <v>1077</v>
      </c>
      <c r="D164" s="116" t="n">
        <v>1225</v>
      </c>
      <c r="E164" s="21" t="n">
        <f aca="false">SUM(D164)/1.16</f>
        <v>1056.03448275862</v>
      </c>
      <c r="F164" s="19" t="n">
        <v>16</v>
      </c>
    </row>
    <row r="165" customFormat="false" ht="15" hidden="false" customHeight="false" outlineLevel="0" collapsed="false">
      <c r="A165" s="18" t="s">
        <v>1078</v>
      </c>
      <c r="B165" s="18" t="s">
        <v>1079</v>
      </c>
      <c r="C165" s="19" t="s">
        <v>1080</v>
      </c>
      <c r="D165" s="116" t="n">
        <v>1225</v>
      </c>
      <c r="E165" s="21" t="n">
        <f aca="false">SUM(D165)/1.16</f>
        <v>1056.03448275862</v>
      </c>
      <c r="F165" s="19" t="n">
        <v>16</v>
      </c>
    </row>
    <row r="166" customFormat="false" ht="15" hidden="false" customHeight="false" outlineLevel="0" collapsed="false">
      <c r="A166" s="18" t="s">
        <v>1081</v>
      </c>
      <c r="B166" s="18" t="s">
        <v>1082</v>
      </c>
      <c r="C166" s="19" t="s">
        <v>1080</v>
      </c>
      <c r="D166" s="116" t="n">
        <v>1225</v>
      </c>
      <c r="E166" s="21" t="n">
        <f aca="false">SUM(D166)/1.16</f>
        <v>1056.03448275862</v>
      </c>
      <c r="F166" s="19" t="n">
        <v>16</v>
      </c>
    </row>
    <row r="167" customFormat="false" ht="15" hidden="false" customHeight="false" outlineLevel="0" collapsed="false">
      <c r="A167" s="18" t="s">
        <v>1083</v>
      </c>
      <c r="B167" s="18" t="s">
        <v>1084</v>
      </c>
      <c r="C167" s="19" t="s">
        <v>1085</v>
      </c>
      <c r="D167" s="116" t="n">
        <v>1225</v>
      </c>
      <c r="E167" s="21" t="n">
        <f aca="false">SUM(D167)/1.16</f>
        <v>1056.03448275862</v>
      </c>
      <c r="F167" s="19" t="n">
        <v>16</v>
      </c>
    </row>
    <row r="168" customFormat="false" ht="15" hidden="false" customHeight="false" outlineLevel="0" collapsed="false">
      <c r="A168" s="18" t="s">
        <v>1086</v>
      </c>
      <c r="B168" s="18" t="s">
        <v>1087</v>
      </c>
      <c r="C168" s="19" t="s">
        <v>1085</v>
      </c>
      <c r="D168" s="116" t="n">
        <v>1225</v>
      </c>
      <c r="E168" s="21" t="n">
        <f aca="false">SUM(D168)/1.16</f>
        <v>1056.03448275862</v>
      </c>
      <c r="F168" s="19" t="n">
        <v>16</v>
      </c>
    </row>
    <row r="169" customFormat="false" ht="15" hidden="false" customHeight="false" outlineLevel="0" collapsed="false">
      <c r="A169" s="18" t="s">
        <v>1088</v>
      </c>
      <c r="B169" s="18" t="s">
        <v>1089</v>
      </c>
      <c r="C169" s="19" t="s">
        <v>1085</v>
      </c>
      <c r="D169" s="116" t="n">
        <v>1225</v>
      </c>
      <c r="E169" s="21" t="n">
        <f aca="false">SUM(D169)/1.16</f>
        <v>1056.03448275862</v>
      </c>
      <c r="F169" s="19" t="n">
        <v>16</v>
      </c>
    </row>
    <row r="170" customFormat="false" ht="15" hidden="false" customHeight="false" outlineLevel="0" collapsed="false">
      <c r="A170" s="18" t="s">
        <v>1090</v>
      </c>
      <c r="B170" s="18" t="s">
        <v>1091</v>
      </c>
      <c r="C170" s="19" t="s">
        <v>1085</v>
      </c>
      <c r="D170" s="116" t="n">
        <v>1225</v>
      </c>
      <c r="E170" s="21" t="n">
        <f aca="false">SUM(D170)/1.16</f>
        <v>1056.03448275862</v>
      </c>
      <c r="F170" s="19" t="n">
        <v>16</v>
      </c>
    </row>
    <row r="171" customFormat="false" ht="15" hidden="false" customHeight="false" outlineLevel="0" collapsed="false">
      <c r="A171" s="18" t="s">
        <v>1092</v>
      </c>
      <c r="B171" s="18" t="s">
        <v>1093</v>
      </c>
      <c r="C171" s="19" t="s">
        <v>1085</v>
      </c>
      <c r="D171" s="116" t="n">
        <v>1225</v>
      </c>
      <c r="E171" s="21" t="n">
        <f aca="false">SUM(D171)/1.16</f>
        <v>1056.03448275862</v>
      </c>
      <c r="F171" s="19" t="n">
        <v>16</v>
      </c>
    </row>
    <row r="172" customFormat="false" ht="15" hidden="false" customHeight="false" outlineLevel="0" collapsed="false">
      <c r="A172" s="18" t="s">
        <v>1094</v>
      </c>
      <c r="B172" s="18" t="s">
        <v>1095</v>
      </c>
      <c r="C172" s="19" t="s">
        <v>1085</v>
      </c>
      <c r="D172" s="116" t="n">
        <v>1225</v>
      </c>
      <c r="E172" s="21" t="n">
        <f aca="false">SUM(D172)/1.16</f>
        <v>1056.03448275862</v>
      </c>
      <c r="F172" s="19" t="n">
        <v>16</v>
      </c>
    </row>
    <row r="173" customFormat="false" ht="15" hidden="false" customHeight="false" outlineLevel="0" collapsed="false">
      <c r="A173" s="18" t="s">
        <v>1096</v>
      </c>
      <c r="B173" s="18" t="s">
        <v>1097</v>
      </c>
      <c r="C173" s="19" t="s">
        <v>1085</v>
      </c>
      <c r="D173" s="116" t="n">
        <v>1225</v>
      </c>
      <c r="E173" s="21" t="n">
        <f aca="false">SUM(D173)/1.16</f>
        <v>1056.03448275862</v>
      </c>
      <c r="F173" s="19" t="n">
        <v>16</v>
      </c>
    </row>
    <row r="174" customFormat="false" ht="15" hidden="false" customHeight="false" outlineLevel="0" collapsed="false">
      <c r="A174" s="18" t="s">
        <v>1098</v>
      </c>
      <c r="B174" s="18" t="s">
        <v>1099</v>
      </c>
      <c r="C174" s="19" t="s">
        <v>121</v>
      </c>
      <c r="D174" s="116" t="n">
        <v>2200</v>
      </c>
      <c r="E174" s="21" t="n">
        <f aca="false">SUM(D174)/1.16</f>
        <v>1896.55172413793</v>
      </c>
      <c r="F174" s="19" t="n">
        <v>16</v>
      </c>
    </row>
    <row r="175" customFormat="false" ht="15" hidden="false" customHeight="false" outlineLevel="0" collapsed="false">
      <c r="D175" s="117"/>
    </row>
    <row r="176" customFormat="false" ht="15.75" hidden="false" customHeight="false" outlineLevel="0" collapsed="false">
      <c r="A176" s="109" t="s">
        <v>1100</v>
      </c>
      <c r="B176" s="115" t="s">
        <v>1101</v>
      </c>
      <c r="C176" s="115"/>
      <c r="D176" s="115"/>
      <c r="E176" s="115"/>
      <c r="F176" s="115"/>
    </row>
    <row r="177" customFormat="false" ht="15.75" hidden="false" customHeight="false" outlineLevel="0" collapsed="false">
      <c r="A177" s="109"/>
      <c r="B177" s="109"/>
      <c r="C177" s="109"/>
      <c r="D177" s="109"/>
      <c r="E177" s="110"/>
      <c r="F177" s="109"/>
    </row>
    <row r="178" customFormat="false" ht="15" hidden="false" customHeight="false" outlineLevel="0" collapsed="false">
      <c r="A178" s="28" t="s">
        <v>1102</v>
      </c>
      <c r="B178" s="28"/>
      <c r="C178" s="28"/>
      <c r="D178" s="28"/>
      <c r="E178" s="28"/>
      <c r="F178" s="28"/>
    </row>
    <row r="179" customFormat="false" ht="15" hidden="false" customHeight="false" outlineLevel="0" collapsed="false">
      <c r="A179" s="15" t="s">
        <v>7</v>
      </c>
      <c r="B179" s="16" t="s">
        <v>8</v>
      </c>
      <c r="C179" s="16" t="s">
        <v>9</v>
      </c>
      <c r="D179" s="16" t="s">
        <v>31</v>
      </c>
      <c r="E179" s="17" t="s">
        <v>10</v>
      </c>
      <c r="F179" s="16" t="s">
        <v>11</v>
      </c>
    </row>
    <row r="180" customFormat="false" ht="15" hidden="false" customHeight="false" outlineLevel="0" collapsed="false">
      <c r="A180" s="18" t="s">
        <v>1103</v>
      </c>
      <c r="B180" s="18" t="s">
        <v>1104</v>
      </c>
      <c r="C180" s="19" t="s">
        <v>1105</v>
      </c>
      <c r="D180" s="20" t="n">
        <v>11020</v>
      </c>
      <c r="E180" s="21" t="n">
        <v>10304</v>
      </c>
      <c r="F180" s="19" t="n">
        <v>16</v>
      </c>
    </row>
    <row r="181" customFormat="false" ht="15" hidden="false" customHeight="false" outlineLevel="0" collapsed="false">
      <c r="A181" s="18" t="s">
        <v>1106</v>
      </c>
      <c r="B181" s="18" t="s">
        <v>1107</v>
      </c>
      <c r="C181" s="19" t="s">
        <v>150</v>
      </c>
      <c r="D181" s="20" t="n">
        <v>20602</v>
      </c>
      <c r="E181" s="21" t="n">
        <v>17840</v>
      </c>
      <c r="F181" s="19" t="n">
        <v>16</v>
      </c>
    </row>
    <row r="182" customFormat="false" ht="15" hidden="false" customHeight="false" outlineLevel="0" collapsed="false">
      <c r="A182" s="18" t="s">
        <v>1108</v>
      </c>
      <c r="B182" s="18" t="s">
        <v>1109</v>
      </c>
      <c r="C182" s="19" t="s">
        <v>150</v>
      </c>
      <c r="D182" s="20" t="n">
        <v>24058</v>
      </c>
      <c r="E182" s="21" t="n">
        <v>20840</v>
      </c>
      <c r="F182" s="19" t="n">
        <v>16</v>
      </c>
    </row>
    <row r="183" customFormat="false" ht="15" hidden="false" customHeight="false" outlineLevel="0" collapsed="false">
      <c r="A183" s="18" t="s">
        <v>1110</v>
      </c>
      <c r="B183" s="18" t="s">
        <v>1111</v>
      </c>
      <c r="C183" s="19" t="s">
        <v>948</v>
      </c>
      <c r="D183" s="20" t="n">
        <v>32793</v>
      </c>
      <c r="E183" s="21" t="n">
        <v>30672</v>
      </c>
      <c r="F183" s="19" t="n">
        <v>16</v>
      </c>
    </row>
    <row r="184" customFormat="false" ht="15" hidden="false" customHeight="false" outlineLevel="0" collapsed="false">
      <c r="A184" s="18" t="s">
        <v>1112</v>
      </c>
      <c r="B184" s="18" t="s">
        <v>1113</v>
      </c>
      <c r="C184" s="19" t="s">
        <v>948</v>
      </c>
      <c r="D184" s="20" t="n">
        <v>32793</v>
      </c>
      <c r="E184" s="21" t="n">
        <v>30672</v>
      </c>
      <c r="F184" s="19" t="n">
        <v>16</v>
      </c>
    </row>
    <row r="185" customFormat="false" ht="15" hidden="false" customHeight="false" outlineLevel="0" collapsed="false">
      <c r="D185" s="25"/>
    </row>
    <row r="186" customFormat="false" ht="15" hidden="false" customHeight="false" outlineLevel="0" collapsed="false">
      <c r="A186" s="28" t="s">
        <v>1114</v>
      </c>
      <c r="B186" s="28"/>
      <c r="C186" s="28"/>
      <c r="D186" s="28"/>
      <c r="E186" s="28"/>
      <c r="F186" s="28"/>
    </row>
    <row r="187" customFormat="false" ht="15" hidden="false" customHeight="false" outlineLevel="0" collapsed="false">
      <c r="A187" s="15" t="s">
        <v>7</v>
      </c>
      <c r="B187" s="16" t="s">
        <v>8</v>
      </c>
      <c r="C187" s="16" t="s">
        <v>9</v>
      </c>
      <c r="D187" s="16" t="s">
        <v>31</v>
      </c>
      <c r="E187" s="17" t="s">
        <v>10</v>
      </c>
      <c r="F187" s="16" t="s">
        <v>11</v>
      </c>
    </row>
    <row r="188" customFormat="false" ht="15" hidden="false" customHeight="false" outlineLevel="0" collapsed="false">
      <c r="A188" s="18" t="s">
        <v>1115</v>
      </c>
      <c r="B188" s="18" t="s">
        <v>1116</v>
      </c>
      <c r="C188" s="19" t="s">
        <v>1117</v>
      </c>
      <c r="D188" s="20" t="n">
        <v>7300</v>
      </c>
      <c r="E188" s="21" t="n">
        <v>7850</v>
      </c>
      <c r="F188" s="19" t="n">
        <v>0</v>
      </c>
    </row>
    <row r="189" customFormat="false" ht="15" hidden="false" customHeight="false" outlineLevel="0" collapsed="false">
      <c r="A189" s="18" t="s">
        <v>1118</v>
      </c>
      <c r="B189" s="18" t="s">
        <v>1119</v>
      </c>
      <c r="C189" s="19" t="s">
        <v>1117</v>
      </c>
      <c r="D189" s="20" t="n">
        <v>7300</v>
      </c>
      <c r="E189" s="21" t="n">
        <v>7850</v>
      </c>
      <c r="F189" s="19" t="n">
        <v>0</v>
      </c>
    </row>
    <row r="190" customFormat="false" ht="15" hidden="false" customHeight="false" outlineLevel="0" collapsed="false">
      <c r="A190" s="18" t="s">
        <v>1120</v>
      </c>
      <c r="B190" s="18" t="s">
        <v>1121</v>
      </c>
      <c r="C190" s="19" t="s">
        <v>14</v>
      </c>
      <c r="D190" s="20" t="n">
        <v>9000</v>
      </c>
      <c r="E190" s="21" t="n">
        <v>9800</v>
      </c>
      <c r="F190" s="19" t="n">
        <v>0</v>
      </c>
    </row>
    <row r="191" customFormat="false" ht="15" hidden="false" customHeight="false" outlineLevel="0" collapsed="false">
      <c r="A191" s="18" t="s">
        <v>1122</v>
      </c>
      <c r="B191" s="18" t="s">
        <v>1123</v>
      </c>
      <c r="C191" s="19" t="s">
        <v>14</v>
      </c>
      <c r="D191" s="20" t="n">
        <v>7200</v>
      </c>
      <c r="E191" s="21" t="n">
        <v>7750</v>
      </c>
      <c r="F191" s="19" t="n">
        <v>0</v>
      </c>
    </row>
    <row r="192" customFormat="false" ht="15" hidden="false" customHeight="false" outlineLevel="0" collapsed="false">
      <c r="A192" s="18" t="s">
        <v>1124</v>
      </c>
      <c r="B192" s="18" t="s">
        <v>1125</v>
      </c>
      <c r="C192" s="19" t="s">
        <v>14</v>
      </c>
      <c r="D192" s="20" t="n">
        <v>19000</v>
      </c>
      <c r="E192" s="21" t="n">
        <v>20400</v>
      </c>
      <c r="F192" s="19" t="n">
        <v>0</v>
      </c>
    </row>
    <row r="193" customFormat="false" ht="15" hidden="false" customHeight="false" outlineLevel="0" collapsed="false">
      <c r="A193" s="18" t="s">
        <v>1126</v>
      </c>
      <c r="B193" s="18" t="s">
        <v>1127</v>
      </c>
      <c r="C193" s="19" t="s">
        <v>14</v>
      </c>
      <c r="D193" s="20" t="n">
        <v>7200</v>
      </c>
      <c r="E193" s="21" t="n">
        <v>7750</v>
      </c>
      <c r="F193" s="19" t="n">
        <v>0</v>
      </c>
    </row>
    <row r="194" customFormat="false" ht="15" hidden="false" customHeight="false" outlineLevel="0" collapsed="false">
      <c r="A194" s="18"/>
      <c r="B194" s="18" t="s">
        <v>1128</v>
      </c>
      <c r="C194" s="19" t="s">
        <v>14</v>
      </c>
      <c r="D194" s="20" t="n">
        <v>9000</v>
      </c>
      <c r="E194" s="21" t="n">
        <v>9800</v>
      </c>
      <c r="F194" s="19" t="n">
        <v>0</v>
      </c>
    </row>
    <row r="196" customFormat="false" ht="15" hidden="false" customHeight="false" outlineLevel="0" collapsed="false">
      <c r="A196" s="29" t="s">
        <v>162</v>
      </c>
    </row>
    <row r="197" customFormat="false" ht="15" hidden="false" customHeight="false" outlineLevel="0" collapsed="false">
      <c r="A197" s="29" t="s">
        <v>163</v>
      </c>
    </row>
    <row r="199" customFormat="false" ht="15" hidden="false" customHeight="false" outlineLevel="0" collapsed="false">
      <c r="A199" s="29"/>
    </row>
    <row r="200" customFormat="false" ht="15" hidden="false" customHeight="false" outlineLevel="0" collapsed="false">
      <c r="A200" s="29"/>
    </row>
    <row r="203" customFormat="false" ht="15.75" hidden="false" customHeight="false" outlineLevel="0" collapsed="false">
      <c r="A203" s="5" t="s">
        <v>0</v>
      </c>
      <c r="B203" s="5"/>
      <c r="C203" s="5"/>
      <c r="D203" s="5"/>
      <c r="E203" s="5"/>
      <c r="F203" s="5"/>
    </row>
    <row r="204" customFormat="false" ht="18.75" hidden="false" customHeight="false" outlineLevel="0" collapsed="false">
      <c r="B204" s="6" t="s">
        <v>1</v>
      </c>
      <c r="C204" s="6"/>
      <c r="D204" s="6"/>
      <c r="E204" s="6"/>
      <c r="F204" s="6"/>
    </row>
    <row r="205" customFormat="false" ht="15" hidden="false" customHeight="false" outlineLevel="0" collapsed="false">
      <c r="B205" s="27" t="s">
        <v>1129</v>
      </c>
      <c r="C205" s="27"/>
      <c r="D205" s="27"/>
      <c r="E205" s="27"/>
      <c r="F205" s="27"/>
    </row>
    <row r="206" customFormat="false" ht="15" hidden="false" customHeight="false" outlineLevel="0" collapsed="false">
      <c r="B206" s="8" t="s">
        <v>3</v>
      </c>
      <c r="C206" s="8"/>
      <c r="D206" s="8"/>
      <c r="E206" s="8"/>
      <c r="F206" s="8"/>
    </row>
    <row r="207" customFormat="false" ht="15" hidden="false" customHeight="false" outlineLevel="0" collapsed="false">
      <c r="B207" s="8" t="s">
        <v>4</v>
      </c>
      <c r="C207" s="8"/>
      <c r="D207" s="8"/>
      <c r="E207" s="8"/>
      <c r="F207" s="8"/>
    </row>
    <row r="208" customFormat="false" ht="15" hidden="false" customHeight="false" outlineLevel="0" collapsed="false">
      <c r="B208" s="118" t="s">
        <v>57</v>
      </c>
      <c r="C208" s="118"/>
      <c r="D208" s="118"/>
      <c r="E208" s="118"/>
      <c r="F208" s="118"/>
    </row>
    <row r="212" customFormat="false" ht="15.75" hidden="false" customHeight="false" outlineLevel="0" collapsed="false">
      <c r="A212" s="10" t="s">
        <v>1130</v>
      </c>
      <c r="B212" s="10"/>
      <c r="C212" s="10"/>
      <c r="D212" s="10"/>
      <c r="E212" s="10"/>
      <c r="F212" s="10"/>
    </row>
    <row r="213" customFormat="false" ht="15" hidden="false" customHeight="false" outlineLevel="0" collapsed="false">
      <c r="A213" s="15" t="s">
        <v>7</v>
      </c>
      <c r="B213" s="16" t="s">
        <v>8</v>
      </c>
      <c r="C213" s="16" t="s">
        <v>9</v>
      </c>
      <c r="D213" s="16" t="s">
        <v>31</v>
      </c>
      <c r="E213" s="17" t="s">
        <v>10</v>
      </c>
      <c r="F213" s="16" t="s">
        <v>11</v>
      </c>
    </row>
    <row r="214" customFormat="false" ht="15" hidden="false" customHeight="false" outlineLevel="0" collapsed="false">
      <c r="A214" s="18" t="s">
        <v>1131</v>
      </c>
      <c r="B214" s="18" t="s">
        <v>1132</v>
      </c>
      <c r="C214" s="19" t="s">
        <v>14</v>
      </c>
      <c r="D214" s="116" t="n">
        <v>42800</v>
      </c>
      <c r="E214" s="21" t="n">
        <v>44928</v>
      </c>
      <c r="F214" s="19" t="n">
        <v>0</v>
      </c>
    </row>
    <row r="215" customFormat="false" ht="15" hidden="false" customHeight="false" outlineLevel="0" collapsed="false">
      <c r="A215" s="18" t="s">
        <v>1133</v>
      </c>
      <c r="B215" s="18" t="s">
        <v>1134</v>
      </c>
      <c r="C215" s="19" t="s">
        <v>14</v>
      </c>
      <c r="D215" s="116" t="n">
        <v>21499</v>
      </c>
      <c r="E215" s="21" t="n">
        <v>20051</v>
      </c>
      <c r="F215" s="19" t="n">
        <v>16</v>
      </c>
    </row>
    <row r="216" customFormat="false" ht="15" hidden="false" customHeight="false" outlineLevel="0" collapsed="false">
      <c r="A216" s="18" t="s">
        <v>1135</v>
      </c>
      <c r="B216" s="18" t="s">
        <v>1136</v>
      </c>
      <c r="C216" s="19" t="s">
        <v>171</v>
      </c>
      <c r="D216" s="116" t="n">
        <v>48550</v>
      </c>
      <c r="E216" s="21" t="n">
        <v>42869</v>
      </c>
      <c r="F216" s="19" t="n">
        <v>16</v>
      </c>
    </row>
    <row r="217" customFormat="false" ht="15" hidden="false" customHeight="false" outlineLevel="0" collapsed="false">
      <c r="A217" s="18"/>
      <c r="B217" s="18" t="s">
        <v>1137</v>
      </c>
      <c r="C217" s="19" t="s">
        <v>14</v>
      </c>
      <c r="D217" s="116"/>
      <c r="E217" s="21" t="n">
        <v>17300</v>
      </c>
      <c r="F217" s="19" t="n">
        <v>16</v>
      </c>
    </row>
    <row r="218" customFormat="false" ht="15" hidden="false" customHeight="false" outlineLevel="0" collapsed="false">
      <c r="A218" s="18" t="s">
        <v>1138</v>
      </c>
      <c r="B218" s="18" t="s">
        <v>1139</v>
      </c>
      <c r="C218" s="19" t="s">
        <v>14</v>
      </c>
      <c r="D218" s="116" t="n">
        <v>36817</v>
      </c>
      <c r="E218" s="21" t="n">
        <v>34599</v>
      </c>
      <c r="F218" s="19" t="n">
        <v>16</v>
      </c>
    </row>
    <row r="219" customFormat="false" ht="15" hidden="false" customHeight="false" outlineLevel="0" collapsed="false">
      <c r="A219" s="18" t="s">
        <v>1140</v>
      </c>
      <c r="B219" s="18" t="s">
        <v>1141</v>
      </c>
      <c r="C219" s="19" t="s">
        <v>26</v>
      </c>
      <c r="D219" s="116" t="n">
        <v>17928</v>
      </c>
      <c r="E219" s="21" t="n">
        <v>17114</v>
      </c>
      <c r="F219" s="19" t="n">
        <v>16</v>
      </c>
    </row>
    <row r="220" customFormat="false" ht="15" hidden="false" customHeight="false" outlineLevel="0" collapsed="false">
      <c r="A220" s="18" t="s">
        <v>1142</v>
      </c>
      <c r="B220" s="18" t="s">
        <v>1143</v>
      </c>
      <c r="C220" s="19" t="s">
        <v>26</v>
      </c>
      <c r="D220" s="116" t="n">
        <v>17928</v>
      </c>
      <c r="E220" s="21" t="n">
        <v>17114</v>
      </c>
      <c r="F220" s="19" t="n">
        <v>16</v>
      </c>
    </row>
    <row r="221" customFormat="false" ht="15" hidden="false" customHeight="false" outlineLevel="0" collapsed="false">
      <c r="A221" s="18"/>
      <c r="B221" s="18" t="s">
        <v>1144</v>
      </c>
      <c r="C221" s="19" t="s">
        <v>150</v>
      </c>
      <c r="D221" s="116" t="n">
        <v>4489</v>
      </c>
      <c r="E221" s="21" t="n">
        <v>4591</v>
      </c>
      <c r="F221" s="19" t="n">
        <v>0</v>
      </c>
    </row>
    <row r="222" customFormat="false" ht="15" hidden="false" customHeight="false" outlineLevel="0" collapsed="false">
      <c r="A222" s="18"/>
      <c r="B222" s="18" t="s">
        <v>1145</v>
      </c>
      <c r="C222" s="19" t="s">
        <v>150</v>
      </c>
      <c r="D222" s="116" t="n">
        <v>4382</v>
      </c>
      <c r="E222" s="21" t="n">
        <v>4382</v>
      </c>
      <c r="F222" s="19" t="n">
        <v>0</v>
      </c>
    </row>
    <row r="223" customFormat="false" ht="15" hidden="false" customHeight="false" outlineLevel="0" collapsed="false">
      <c r="A223" s="24"/>
      <c r="B223" s="18" t="s">
        <v>1146</v>
      </c>
      <c r="C223" s="19" t="s">
        <v>14</v>
      </c>
      <c r="D223" s="116" t="n">
        <v>51700</v>
      </c>
      <c r="E223" s="21" t="n">
        <v>48720</v>
      </c>
      <c r="F223" s="19" t="n">
        <v>10</v>
      </c>
    </row>
    <row r="224" customFormat="false" ht="15" hidden="false" customHeight="false" outlineLevel="0" collapsed="false">
      <c r="A224" s="24"/>
      <c r="B224" s="18" t="s">
        <v>1147</v>
      </c>
      <c r="C224" s="19" t="s">
        <v>14</v>
      </c>
      <c r="D224" s="116" t="n">
        <v>53900</v>
      </c>
      <c r="E224" s="21" t="n">
        <v>50960</v>
      </c>
      <c r="F224" s="19" t="n">
        <v>10</v>
      </c>
    </row>
    <row r="225" customFormat="false" ht="15" hidden="false" customHeight="false" outlineLevel="0" collapsed="false">
      <c r="A225" s="24"/>
      <c r="B225" s="18" t="s">
        <v>1148</v>
      </c>
      <c r="C225" s="19" t="s">
        <v>171</v>
      </c>
      <c r="D225" s="116" t="n">
        <v>53130</v>
      </c>
      <c r="E225" s="21"/>
      <c r="F225" s="19" t="n">
        <v>10</v>
      </c>
    </row>
    <row r="226" customFormat="false" ht="15" hidden="false" customHeight="false" outlineLevel="0" collapsed="false">
      <c r="A226" s="24"/>
      <c r="B226" s="18" t="s">
        <v>1149</v>
      </c>
      <c r="C226" s="19" t="s">
        <v>14</v>
      </c>
      <c r="D226" s="116" t="n">
        <v>21927</v>
      </c>
      <c r="E226" s="21" t="n">
        <v>15156</v>
      </c>
      <c r="F226" s="19" t="n">
        <v>16</v>
      </c>
    </row>
    <row r="227" customFormat="false" ht="15" hidden="false" customHeight="false" outlineLevel="0" collapsed="false">
      <c r="A227" s="24"/>
      <c r="B227" s="18" t="s">
        <v>1150</v>
      </c>
      <c r="C227" s="19" t="s">
        <v>14</v>
      </c>
      <c r="D227" s="116" t="n">
        <v>25112</v>
      </c>
      <c r="E227" s="21" t="n">
        <v>17358</v>
      </c>
      <c r="F227" s="19" t="n">
        <v>16</v>
      </c>
    </row>
    <row r="228" customFormat="false" ht="15" hidden="false" customHeight="false" outlineLevel="0" collapsed="false">
      <c r="A228" s="24"/>
      <c r="B228" s="18" t="s">
        <v>1151</v>
      </c>
      <c r="C228" s="19" t="s">
        <v>14</v>
      </c>
      <c r="D228" s="116"/>
      <c r="E228" s="21" t="n">
        <v>15523</v>
      </c>
      <c r="F228" s="19" t="n">
        <v>16</v>
      </c>
    </row>
    <row r="229" customFormat="false" ht="15" hidden="false" customHeight="false" outlineLevel="0" collapsed="false">
      <c r="A229" s="24"/>
      <c r="B229" s="18" t="s">
        <v>1152</v>
      </c>
      <c r="C229" s="19" t="s">
        <v>14</v>
      </c>
      <c r="D229" s="116"/>
      <c r="E229" s="21" t="n">
        <v>16170</v>
      </c>
      <c r="F229" s="19" t="n">
        <v>16</v>
      </c>
    </row>
    <row r="230" customFormat="false" ht="15" hidden="false" customHeight="false" outlineLevel="0" collapsed="false">
      <c r="A230" s="24"/>
      <c r="B230" s="18" t="s">
        <v>1153</v>
      </c>
      <c r="C230" s="19" t="s">
        <v>14</v>
      </c>
      <c r="D230" s="116" t="n">
        <v>25091</v>
      </c>
      <c r="E230" s="21" t="n">
        <v>27676</v>
      </c>
      <c r="F230" s="19" t="n">
        <v>10</v>
      </c>
    </row>
    <row r="231" customFormat="false" ht="15" hidden="false" customHeight="false" outlineLevel="0" collapsed="false">
      <c r="A231" s="24"/>
      <c r="B231" s="18" t="s">
        <v>1154</v>
      </c>
      <c r="C231" s="19" t="s">
        <v>14</v>
      </c>
      <c r="D231" s="19"/>
      <c r="E231" s="21" t="n">
        <v>8404</v>
      </c>
      <c r="F231" s="19" t="n">
        <v>0</v>
      </c>
    </row>
    <row r="232" customFormat="false" ht="15" hidden="false" customHeight="false" outlineLevel="0" collapsed="false">
      <c r="A232" s="24"/>
      <c r="B232" s="18"/>
      <c r="C232" s="19"/>
      <c r="D232" s="19"/>
      <c r="E232" s="21"/>
      <c r="F232" s="19"/>
    </row>
    <row r="233" customFormat="false" ht="15" hidden="false" customHeight="false" outlineLevel="0" collapsed="false">
      <c r="A233" s="24"/>
      <c r="B233" s="18"/>
      <c r="C233" s="19"/>
      <c r="D233" s="19"/>
      <c r="E233" s="21"/>
      <c r="F233" s="19"/>
    </row>
  </sheetData>
  <mergeCells count="43">
    <mergeCell ref="A5:F5"/>
    <mergeCell ref="B6:F6"/>
    <mergeCell ref="B7:F7"/>
    <mergeCell ref="B8:F8"/>
    <mergeCell ref="B9:F9"/>
    <mergeCell ref="B10:F10"/>
    <mergeCell ref="A11:F11"/>
    <mergeCell ref="A59:F59"/>
    <mergeCell ref="B60:F60"/>
    <mergeCell ref="B61:F61"/>
    <mergeCell ref="B62:F62"/>
    <mergeCell ref="B63:F63"/>
    <mergeCell ref="B64:F64"/>
    <mergeCell ref="A66:F66"/>
    <mergeCell ref="A104:F104"/>
    <mergeCell ref="B105:E105"/>
    <mergeCell ref="B106:E106"/>
    <mergeCell ref="B107:E107"/>
    <mergeCell ref="B108:F108"/>
    <mergeCell ref="B110:F110"/>
    <mergeCell ref="A113:F113"/>
    <mergeCell ref="A124:F124"/>
    <mergeCell ref="A129:F129"/>
    <mergeCell ref="A131:F131"/>
    <mergeCell ref="A144:F144"/>
    <mergeCell ref="A153:F153"/>
    <mergeCell ref="B154:F154"/>
    <mergeCell ref="B155:F155"/>
    <mergeCell ref="B156:F156"/>
    <mergeCell ref="B157:F157"/>
    <mergeCell ref="B158:F158"/>
    <mergeCell ref="B159:F159"/>
    <mergeCell ref="B161:F161"/>
    <mergeCell ref="B176:F176"/>
    <mergeCell ref="A178:F178"/>
    <mergeCell ref="A186:F186"/>
    <mergeCell ref="A203:F203"/>
    <mergeCell ref="B204:F204"/>
    <mergeCell ref="B205:F205"/>
    <mergeCell ref="B206:F206"/>
    <mergeCell ref="B207:F207"/>
    <mergeCell ref="B208:F208"/>
    <mergeCell ref="A212:F212"/>
  </mergeCells>
  <printOptions headings="false" gridLines="false" gridLinesSet="true" horizontalCentered="true" verticalCentered="false"/>
  <pageMargins left="0.708333333333333" right="0.708333333333333" top="0.275694444444444" bottom="0.551388888888889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G43"/>
  <sheetViews>
    <sheetView showFormulas="false" showGridLines="true" showRowColHeaders="true" showZeros="true" rightToLeft="false" tabSelected="false" showOutlineSymbols="true" defaultGridColor="true" view="normal" topLeftCell="A12" colorId="64" zoomScale="110" zoomScaleNormal="110" zoomScalePageLayoutView="100" workbookViewId="0">
      <selection pane="topLeft" activeCell="I14" activeCellId="0" sqref="I14"/>
    </sheetView>
  </sheetViews>
  <sheetFormatPr defaultColWidth="11.1484375" defaultRowHeight="15" zeroHeight="false" outlineLevelRow="0" outlineLevelCol="0"/>
  <cols>
    <col collapsed="false" customWidth="true" hidden="false" outlineLevel="0" max="1" min="1" style="2" width="8.86"/>
    <col collapsed="false" customWidth="true" hidden="false" outlineLevel="0" max="2" min="2" style="2" width="9.14"/>
    <col collapsed="false" customWidth="true" hidden="false" outlineLevel="0" max="3" min="3" style="2" width="24.14"/>
    <col collapsed="false" customWidth="true" hidden="false" outlineLevel="0" max="4" min="4" style="2" width="9.14"/>
    <col collapsed="false" customWidth="true" hidden="true" outlineLevel="0" max="5" min="5" style="2" width="11.43"/>
    <col collapsed="false" customWidth="true" hidden="false" outlineLevel="0" max="6" min="6" style="2" width="16.29"/>
    <col collapsed="false" customWidth="true" hidden="false" outlineLevel="0" max="7" min="7" style="2" width="9.71"/>
  </cols>
  <sheetData>
    <row r="4" customFormat="false" ht="15.75" hidden="false" customHeight="false" outlineLevel="0" collapsed="false">
      <c r="B4" s="5" t="s">
        <v>0</v>
      </c>
      <c r="C4" s="5"/>
      <c r="D4" s="5"/>
      <c r="E4" s="5"/>
      <c r="F4" s="5"/>
      <c r="G4" s="5"/>
    </row>
    <row r="5" customFormat="false" ht="15.75" hidden="false" customHeight="false" outlineLevel="0" collapsed="false">
      <c r="B5" s="1"/>
      <c r="C5" s="10" t="s">
        <v>1155</v>
      </c>
      <c r="D5" s="10"/>
      <c r="E5" s="10"/>
      <c r="F5" s="10"/>
      <c r="G5" s="10"/>
    </row>
    <row r="6" customFormat="false" ht="15" hidden="false" customHeight="false" outlineLevel="0" collapsed="false">
      <c r="B6" s="1"/>
      <c r="C6" s="27" t="s">
        <v>1156</v>
      </c>
      <c r="D6" s="27"/>
      <c r="E6" s="27"/>
      <c r="F6" s="27"/>
      <c r="G6" s="27"/>
    </row>
    <row r="7" customFormat="false" ht="15" hidden="false" customHeight="false" outlineLevel="0" collapsed="false">
      <c r="B7" s="1"/>
      <c r="C7" s="8" t="s">
        <v>1157</v>
      </c>
      <c r="D7" s="8"/>
      <c r="E7" s="8"/>
      <c r="F7" s="8"/>
      <c r="G7" s="8"/>
    </row>
    <row r="8" customFormat="false" ht="15" hidden="false" customHeight="false" outlineLevel="0" collapsed="false">
      <c r="B8" s="1"/>
      <c r="C8" s="8" t="s">
        <v>4</v>
      </c>
      <c r="D8" s="8"/>
      <c r="E8" s="8"/>
      <c r="F8" s="8"/>
      <c r="G8" s="8"/>
    </row>
    <row r="9" customFormat="false" ht="15" hidden="false" customHeight="false" outlineLevel="0" collapsed="false">
      <c r="B9" s="1"/>
      <c r="C9" s="118" t="s">
        <v>57</v>
      </c>
      <c r="D9" s="118"/>
      <c r="E9" s="118"/>
      <c r="F9" s="118"/>
      <c r="G9" s="118"/>
    </row>
    <row r="10" customFormat="false" ht="15" hidden="false" customHeight="false" outlineLevel="0" collapsed="false">
      <c r="B10" s="1"/>
      <c r="D10" s="3"/>
      <c r="E10" s="3"/>
    </row>
    <row r="11" customFormat="false" ht="15" hidden="false" customHeight="false" outlineLevel="0" collapsed="false">
      <c r="B11" s="1"/>
      <c r="C11" s="16" t="s">
        <v>1158</v>
      </c>
      <c r="D11" s="16"/>
      <c r="E11" s="16"/>
      <c r="F11" s="16"/>
      <c r="G11" s="3"/>
    </row>
    <row r="12" customFormat="false" ht="15" hidden="false" customHeight="false" outlineLevel="0" collapsed="false">
      <c r="B12" s="1"/>
      <c r="C12" s="119"/>
      <c r="D12" s="119"/>
      <c r="E12" s="119"/>
      <c r="F12" s="119"/>
    </row>
    <row r="13" customFormat="false" ht="15.75" hidden="false" customHeight="false" outlineLevel="0" collapsed="false">
      <c r="B13" s="10" t="s">
        <v>1159</v>
      </c>
      <c r="C13" s="10"/>
      <c r="D13" s="10"/>
      <c r="E13" s="10"/>
      <c r="F13" s="10"/>
      <c r="G13" s="10"/>
    </row>
    <row r="14" customFormat="false" ht="15.75" hidden="false" customHeight="false" outlineLevel="0" collapsed="false">
      <c r="B14" s="120"/>
      <c r="C14" s="121"/>
      <c r="D14" s="121"/>
      <c r="E14" s="121"/>
      <c r="F14" s="121"/>
    </row>
    <row r="15" customFormat="false" ht="15" hidden="false" customHeight="false" outlineLevel="0" collapsed="false">
      <c r="B15" s="15" t="s">
        <v>7</v>
      </c>
      <c r="C15" s="16" t="s">
        <v>8</v>
      </c>
      <c r="D15" s="16" t="s">
        <v>1160</v>
      </c>
      <c r="E15" s="16" t="s">
        <v>31</v>
      </c>
      <c r="F15" s="17" t="s">
        <v>1161</v>
      </c>
      <c r="G15" s="16" t="s">
        <v>11</v>
      </c>
    </row>
    <row r="16" customFormat="false" ht="15" hidden="false" customHeight="false" outlineLevel="0" collapsed="false">
      <c r="B16" s="18"/>
      <c r="C16" s="18" t="s">
        <v>1162</v>
      </c>
      <c r="D16" s="21" t="n">
        <v>5500</v>
      </c>
      <c r="E16" s="116"/>
      <c r="F16" s="21" t="n">
        <v>5500</v>
      </c>
      <c r="G16" s="19" t="n">
        <v>16</v>
      </c>
    </row>
    <row r="17" customFormat="false" ht="15" hidden="false" customHeight="false" outlineLevel="0" collapsed="false">
      <c r="B17" s="18"/>
      <c r="C17" s="18" t="s">
        <v>1163</v>
      </c>
      <c r="D17" s="21" t="n">
        <v>4290</v>
      </c>
      <c r="E17" s="116"/>
      <c r="F17" s="21" t="n">
        <v>4590</v>
      </c>
      <c r="G17" s="19" t="n">
        <v>16</v>
      </c>
    </row>
    <row r="18" customFormat="false" ht="15" hidden="false" customHeight="false" outlineLevel="0" collapsed="false">
      <c r="B18" s="18"/>
      <c r="C18" s="18" t="s">
        <v>1164</v>
      </c>
      <c r="D18" s="21" t="n">
        <v>5500</v>
      </c>
      <c r="E18" s="116"/>
      <c r="F18" s="21" t="n">
        <v>5500</v>
      </c>
      <c r="G18" s="19" t="n">
        <v>16</v>
      </c>
    </row>
    <row r="19" customFormat="false" ht="15" hidden="false" customHeight="false" outlineLevel="0" collapsed="false">
      <c r="B19" s="18"/>
      <c r="C19" s="18" t="s">
        <v>1165</v>
      </c>
      <c r="D19" s="21" t="n">
        <v>4590</v>
      </c>
      <c r="E19" s="116"/>
      <c r="F19" s="21" t="n">
        <v>4590</v>
      </c>
      <c r="G19" s="19" t="n">
        <v>16</v>
      </c>
    </row>
    <row r="20" customFormat="false" ht="15" hidden="false" customHeight="false" outlineLevel="0" collapsed="false">
      <c r="B20" s="18"/>
      <c r="C20" s="18" t="s">
        <v>1166</v>
      </c>
      <c r="D20" s="21" t="n">
        <v>5000</v>
      </c>
      <c r="E20" s="116"/>
      <c r="F20" s="21" t="n">
        <v>5500</v>
      </c>
      <c r="G20" s="19" t="n">
        <v>16</v>
      </c>
    </row>
    <row r="21" customFormat="false" ht="15" hidden="false" customHeight="false" outlineLevel="0" collapsed="false">
      <c r="B21" s="18"/>
      <c r="C21" s="18" t="s">
        <v>1167</v>
      </c>
      <c r="D21" s="21" t="n">
        <v>4290</v>
      </c>
      <c r="E21" s="116"/>
      <c r="F21" s="21" t="n">
        <v>4590</v>
      </c>
      <c r="G21" s="19" t="n">
        <v>16</v>
      </c>
    </row>
    <row r="22" customFormat="false" ht="15" hidden="false" customHeight="false" outlineLevel="0" collapsed="false">
      <c r="B22" s="18"/>
      <c r="C22" s="18" t="s">
        <v>1168</v>
      </c>
      <c r="D22" s="21" t="n">
        <v>4290</v>
      </c>
      <c r="E22" s="116"/>
      <c r="F22" s="21" t="n">
        <v>4590</v>
      </c>
      <c r="G22" s="19" t="n">
        <v>16</v>
      </c>
    </row>
    <row r="23" customFormat="false" ht="15" hidden="false" customHeight="false" outlineLevel="0" collapsed="false">
      <c r="B23" s="18"/>
      <c r="C23" s="18" t="s">
        <v>1169</v>
      </c>
      <c r="D23" s="21"/>
      <c r="E23" s="116"/>
      <c r="F23" s="21" t="n">
        <v>4590</v>
      </c>
      <c r="G23" s="19" t="n">
        <v>16</v>
      </c>
    </row>
    <row r="24" customFormat="false" ht="15" hidden="false" customHeight="false" outlineLevel="0" collapsed="false">
      <c r="B24" s="24"/>
      <c r="C24" s="18" t="s">
        <v>1170</v>
      </c>
      <c r="D24" s="21"/>
      <c r="E24" s="116"/>
      <c r="F24" s="21" t="n">
        <v>4700</v>
      </c>
      <c r="G24" s="19" t="n">
        <v>16</v>
      </c>
    </row>
    <row r="25" customFormat="false" ht="15" hidden="false" customHeight="false" outlineLevel="0" collapsed="false">
      <c r="B25" s="24"/>
      <c r="C25" s="18" t="s">
        <v>1171</v>
      </c>
      <c r="D25" s="21"/>
      <c r="E25" s="116"/>
      <c r="F25" s="21" t="n">
        <v>5000</v>
      </c>
      <c r="G25" s="19" t="n">
        <v>16</v>
      </c>
    </row>
    <row r="26" customFormat="false" ht="15" hidden="false" customHeight="false" outlineLevel="0" collapsed="false">
      <c r="B26" s="24"/>
      <c r="C26" s="18" t="s">
        <v>1172</v>
      </c>
      <c r="D26" s="21" t="n">
        <v>3600</v>
      </c>
      <c r="E26" s="116"/>
      <c r="F26" s="21"/>
      <c r="G26" s="19" t="n">
        <v>16</v>
      </c>
    </row>
    <row r="27" customFormat="false" ht="15" hidden="false" customHeight="false" outlineLevel="0" collapsed="false">
      <c r="B27" s="24"/>
      <c r="C27" s="18" t="s">
        <v>1173</v>
      </c>
      <c r="D27" s="19"/>
      <c r="E27" s="116"/>
      <c r="F27" s="21" t="n">
        <v>5900</v>
      </c>
      <c r="G27" s="19" t="n">
        <v>16</v>
      </c>
    </row>
    <row r="28" customFormat="false" ht="15" hidden="false" customHeight="false" outlineLevel="0" collapsed="false">
      <c r="B28" s="24"/>
      <c r="C28" s="18" t="s">
        <v>1174</v>
      </c>
      <c r="D28" s="19"/>
      <c r="E28" s="116"/>
      <c r="F28" s="21" t="n">
        <v>5900</v>
      </c>
      <c r="G28" s="19" t="n">
        <v>16</v>
      </c>
    </row>
    <row r="29" customFormat="false" ht="15" hidden="false" customHeight="false" outlineLevel="0" collapsed="false">
      <c r="B29" s="24"/>
      <c r="C29" s="18" t="s">
        <v>1175</v>
      </c>
      <c r="D29" s="19"/>
      <c r="E29" s="116"/>
      <c r="F29" s="21" t="n">
        <v>5900</v>
      </c>
      <c r="G29" s="19" t="n">
        <v>16</v>
      </c>
    </row>
    <row r="30" customFormat="false" ht="15" hidden="false" customHeight="false" outlineLevel="0" collapsed="false">
      <c r="B30" s="24"/>
      <c r="C30" s="18" t="s">
        <v>1176</v>
      </c>
      <c r="D30" s="19"/>
      <c r="E30" s="116"/>
      <c r="F30" s="21" t="n">
        <v>5900</v>
      </c>
      <c r="G30" s="19" t="n">
        <v>16</v>
      </c>
    </row>
    <row r="31" customFormat="false" ht="15" hidden="false" customHeight="false" outlineLevel="0" collapsed="false">
      <c r="B31" s="24"/>
      <c r="C31" s="18" t="s">
        <v>1177</v>
      </c>
      <c r="D31" s="21" t="n">
        <v>3600</v>
      </c>
      <c r="E31" s="116"/>
      <c r="F31" s="21"/>
      <c r="G31" s="19"/>
    </row>
    <row r="32" customFormat="false" ht="15" hidden="false" customHeight="false" outlineLevel="0" collapsed="false">
      <c r="B32" s="18"/>
      <c r="C32" s="18" t="s">
        <v>1178</v>
      </c>
      <c r="D32" s="19"/>
      <c r="E32" s="18"/>
      <c r="F32" s="21" t="n">
        <v>5900</v>
      </c>
      <c r="G32" s="19" t="n">
        <v>16</v>
      </c>
    </row>
    <row r="33" customFormat="false" ht="15" hidden="false" customHeight="false" outlineLevel="0" collapsed="false">
      <c r="B33" s="122" t="s">
        <v>1179</v>
      </c>
      <c r="C33" s="122"/>
      <c r="D33" s="122"/>
      <c r="E33" s="122"/>
      <c r="F33" s="122"/>
      <c r="G33" s="122"/>
    </row>
    <row r="34" customFormat="false" ht="15" hidden="false" customHeight="false" outlineLevel="0" collapsed="false">
      <c r="C34" s="119"/>
      <c r="D34" s="119"/>
      <c r="E34" s="119"/>
      <c r="F34" s="119"/>
    </row>
    <row r="35" customFormat="false" ht="15.75" hidden="false" customHeight="false" outlineLevel="0" collapsed="false">
      <c r="C35" s="10" t="s">
        <v>1180</v>
      </c>
      <c r="D35" s="10"/>
      <c r="E35" s="10"/>
      <c r="F35" s="10"/>
    </row>
    <row r="37" customFormat="false" ht="15" hidden="false" customHeight="false" outlineLevel="0" collapsed="false">
      <c r="B37" s="15" t="s">
        <v>7</v>
      </c>
      <c r="C37" s="16" t="s">
        <v>8</v>
      </c>
      <c r="D37" s="16" t="s">
        <v>9</v>
      </c>
      <c r="E37" s="16" t="s">
        <v>31</v>
      </c>
      <c r="F37" s="17" t="s">
        <v>10</v>
      </c>
      <c r="G37" s="16" t="s">
        <v>11</v>
      </c>
    </row>
    <row r="38" customFormat="false" ht="15" hidden="false" customHeight="false" outlineLevel="0" collapsed="false">
      <c r="B38" s="24"/>
      <c r="C38" s="18" t="s">
        <v>1181</v>
      </c>
      <c r="D38" s="19" t="s">
        <v>1182</v>
      </c>
      <c r="E38" s="116"/>
      <c r="F38" s="21" t="n">
        <v>12000</v>
      </c>
      <c r="G38" s="19" t="n">
        <v>16</v>
      </c>
    </row>
    <row r="39" customFormat="false" ht="15" hidden="false" customHeight="false" outlineLevel="0" collapsed="false">
      <c r="B39" s="24"/>
      <c r="C39" s="18" t="s">
        <v>1183</v>
      </c>
      <c r="D39" s="19" t="s">
        <v>1182</v>
      </c>
      <c r="E39" s="116"/>
      <c r="F39" s="21"/>
      <c r="G39" s="19" t="n">
        <v>16</v>
      </c>
    </row>
    <row r="40" customFormat="false" ht="15" hidden="false" customHeight="false" outlineLevel="0" collapsed="false">
      <c r="B40" s="24"/>
      <c r="C40" s="18" t="s">
        <v>1184</v>
      </c>
      <c r="D40" s="19" t="s">
        <v>1185</v>
      </c>
      <c r="E40" s="116"/>
      <c r="F40" s="21"/>
      <c r="G40" s="19" t="n">
        <v>16</v>
      </c>
    </row>
    <row r="41" customFormat="false" ht="15" hidden="false" customHeight="false" outlineLevel="0" collapsed="false">
      <c r="B41" s="18"/>
      <c r="C41" s="18"/>
      <c r="D41" s="19"/>
      <c r="E41" s="18"/>
      <c r="F41" s="21"/>
    </row>
    <row r="43" customFormat="false" ht="15" hidden="false" customHeight="false" outlineLevel="0" collapsed="false">
      <c r="B43" s="2" t="s">
        <v>1186</v>
      </c>
    </row>
  </sheetData>
  <mergeCells count="13">
    <mergeCell ref="B4:G4"/>
    <mergeCell ref="C5:G5"/>
    <mergeCell ref="C6:G6"/>
    <mergeCell ref="C7:G7"/>
    <mergeCell ref="C8:G8"/>
    <mergeCell ref="C9:G9"/>
    <mergeCell ref="C11:F11"/>
    <mergeCell ref="C12:F12"/>
    <mergeCell ref="B13:G13"/>
    <mergeCell ref="C14:F14"/>
    <mergeCell ref="B33:G33"/>
    <mergeCell ref="C34:F34"/>
    <mergeCell ref="C35:F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6:H3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24" activeCellId="0" sqref="I24"/>
    </sheetView>
  </sheetViews>
  <sheetFormatPr defaultColWidth="11.1484375" defaultRowHeight="15" zeroHeight="false" outlineLevelRow="0" outlineLevelCol="0"/>
  <cols>
    <col collapsed="false" customWidth="true" hidden="false" outlineLevel="0" max="1" min="1" style="2" width="6.43"/>
    <col collapsed="false" customWidth="true" hidden="true" outlineLevel="0" max="2" min="2" style="2" width="11.43"/>
    <col collapsed="false" customWidth="true" hidden="false" outlineLevel="0" max="4" min="4" style="2" width="26.57"/>
    <col collapsed="false" customWidth="true" hidden="false" outlineLevel="0" max="5" min="5" style="2" width="13.57"/>
    <col collapsed="false" customWidth="true" hidden="true" outlineLevel="0" max="7" min="7" style="2" width="11.43"/>
  </cols>
  <sheetData>
    <row r="6" customFormat="false" ht="15.75" hidden="false" customHeight="false" outlineLevel="0" collapsed="false">
      <c r="C6" s="5" t="s">
        <v>0</v>
      </c>
      <c r="D6" s="5"/>
      <c r="E6" s="5"/>
      <c r="F6" s="5"/>
      <c r="G6" s="5"/>
      <c r="H6" s="5"/>
    </row>
    <row r="7" customFormat="false" ht="15.75" hidden="false" customHeight="false" outlineLevel="0" collapsed="false">
      <c r="C7" s="1"/>
      <c r="D7" s="10" t="s">
        <v>1155</v>
      </c>
      <c r="E7" s="10"/>
      <c r="F7" s="10"/>
      <c r="G7" s="10"/>
      <c r="H7" s="10"/>
    </row>
    <row r="8" customFormat="false" ht="15" hidden="false" customHeight="false" outlineLevel="0" collapsed="false">
      <c r="C8" s="1"/>
      <c r="D8" s="27" t="s">
        <v>1156</v>
      </c>
      <c r="E8" s="27"/>
      <c r="F8" s="27"/>
      <c r="G8" s="27"/>
      <c r="H8" s="27"/>
    </row>
    <row r="9" customFormat="false" ht="15" hidden="false" customHeight="false" outlineLevel="0" collapsed="false">
      <c r="C9" s="1"/>
      <c r="D9" s="8" t="s">
        <v>1157</v>
      </c>
      <c r="E9" s="8"/>
      <c r="F9" s="8"/>
      <c r="G9" s="8"/>
      <c r="H9" s="8"/>
    </row>
    <row r="10" customFormat="false" ht="15" hidden="false" customHeight="false" outlineLevel="0" collapsed="false">
      <c r="C10" s="1"/>
      <c r="D10" s="8" t="s">
        <v>4</v>
      </c>
      <c r="E10" s="8"/>
      <c r="F10" s="8"/>
      <c r="G10" s="8"/>
      <c r="H10" s="8"/>
    </row>
    <row r="11" customFormat="false" ht="15" hidden="false" customHeight="false" outlineLevel="0" collapsed="false">
      <c r="C11" s="1"/>
      <c r="D11" s="118" t="s">
        <v>57</v>
      </c>
      <c r="E11" s="118"/>
      <c r="F11" s="118"/>
      <c r="G11" s="118"/>
      <c r="H11" s="118"/>
    </row>
    <row r="12" customFormat="false" ht="15" hidden="false" customHeight="false" outlineLevel="0" collapsed="false">
      <c r="C12" s="1"/>
      <c r="E12" s="3"/>
    </row>
    <row r="13" customFormat="false" ht="15" hidden="false" customHeight="false" outlineLevel="0" collapsed="false">
      <c r="C13" s="1"/>
      <c r="D13" s="119"/>
      <c r="E13" s="119"/>
      <c r="F13" s="119"/>
      <c r="G13" s="119"/>
    </row>
    <row r="14" customFormat="false" ht="15.75" hidden="false" customHeight="false" outlineLevel="0" collapsed="false">
      <c r="C14" s="123" t="s">
        <v>1187</v>
      </c>
      <c r="D14" s="123"/>
      <c r="E14" s="123"/>
      <c r="F14" s="123"/>
      <c r="G14" s="123"/>
      <c r="H14" s="123"/>
    </row>
    <row r="15" customFormat="false" ht="15.75" hidden="false" customHeight="false" outlineLevel="0" collapsed="false">
      <c r="C15" s="120"/>
      <c r="D15" s="121"/>
      <c r="E15" s="121"/>
      <c r="F15" s="121"/>
      <c r="G15" s="121"/>
    </row>
    <row r="16" customFormat="false" ht="15" hidden="false" customHeight="false" outlineLevel="0" collapsed="false">
      <c r="C16" s="15" t="s">
        <v>7</v>
      </c>
      <c r="D16" s="16" t="s">
        <v>8</v>
      </c>
      <c r="E16" s="16" t="s">
        <v>9</v>
      </c>
      <c r="F16" s="16" t="s">
        <v>10</v>
      </c>
      <c r="G16" s="17"/>
      <c r="H16" s="16" t="s">
        <v>11</v>
      </c>
    </row>
    <row r="17" customFormat="false" ht="15" hidden="false" customHeight="false" outlineLevel="0" collapsed="false">
      <c r="C17" s="18"/>
      <c r="D17" s="18" t="s">
        <v>1188</v>
      </c>
      <c r="E17" s="21" t="s">
        <v>1189</v>
      </c>
      <c r="F17" s="124" t="n">
        <v>5376</v>
      </c>
      <c r="G17" s="21"/>
      <c r="H17" s="19" t="n">
        <v>16</v>
      </c>
    </row>
    <row r="18" customFormat="false" ht="15" hidden="false" customHeight="false" outlineLevel="0" collapsed="false">
      <c r="C18" s="18"/>
      <c r="D18" s="18" t="s">
        <v>1188</v>
      </c>
      <c r="E18" s="21" t="s">
        <v>1190</v>
      </c>
      <c r="F18" s="124"/>
      <c r="G18" s="21"/>
      <c r="H18" s="19" t="n">
        <v>16</v>
      </c>
    </row>
    <row r="19" customFormat="false" ht="15" hidden="false" customHeight="false" outlineLevel="0" collapsed="false">
      <c r="C19" s="18"/>
      <c r="D19" s="18" t="s">
        <v>1191</v>
      </c>
      <c r="E19" s="21" t="s">
        <v>1189</v>
      </c>
      <c r="F19" s="124"/>
      <c r="G19" s="21"/>
      <c r="H19" s="19" t="n">
        <v>16</v>
      </c>
    </row>
    <row r="20" customFormat="false" ht="15" hidden="false" customHeight="false" outlineLevel="0" collapsed="false">
      <c r="C20" s="18"/>
      <c r="D20" s="18" t="s">
        <v>1191</v>
      </c>
      <c r="E20" s="21" t="s">
        <v>1192</v>
      </c>
      <c r="F20" s="124"/>
      <c r="G20" s="21"/>
      <c r="H20" s="19" t="n">
        <v>16</v>
      </c>
    </row>
    <row r="21" customFormat="false" ht="15" hidden="false" customHeight="false" outlineLevel="0" collapsed="false">
      <c r="C21" s="18"/>
      <c r="D21" s="18" t="s">
        <v>1193</v>
      </c>
      <c r="E21" s="21" t="s">
        <v>1189</v>
      </c>
      <c r="F21" s="124"/>
      <c r="G21" s="21"/>
      <c r="H21" s="19" t="n">
        <v>16</v>
      </c>
    </row>
    <row r="22" customFormat="false" ht="15" hidden="false" customHeight="false" outlineLevel="0" collapsed="false">
      <c r="C22" s="18"/>
      <c r="D22" s="18"/>
      <c r="E22" s="21"/>
      <c r="F22" s="124"/>
      <c r="G22" s="21"/>
      <c r="H22" s="19" t="n">
        <v>16</v>
      </c>
    </row>
    <row r="23" customFormat="false" ht="15" hidden="false" customHeight="false" outlineLevel="0" collapsed="false">
      <c r="C23" s="18"/>
      <c r="D23" s="18" t="s">
        <v>1194</v>
      </c>
      <c r="E23" s="21" t="s">
        <v>1190</v>
      </c>
      <c r="F23" s="124" t="n">
        <v>3480</v>
      </c>
      <c r="G23" s="21"/>
      <c r="H23" s="19" t="n">
        <v>16</v>
      </c>
    </row>
    <row r="24" customFormat="false" ht="15" hidden="false" customHeight="false" outlineLevel="0" collapsed="false">
      <c r="C24" s="18"/>
      <c r="D24" s="18" t="s">
        <v>1195</v>
      </c>
      <c r="E24" s="21" t="s">
        <v>1192</v>
      </c>
      <c r="F24" s="124"/>
      <c r="G24" s="21"/>
      <c r="H24" s="19" t="n">
        <v>16</v>
      </c>
    </row>
    <row r="25" customFormat="false" ht="15" hidden="false" customHeight="false" outlineLevel="0" collapsed="false">
      <c r="C25" s="24"/>
      <c r="D25" s="18"/>
      <c r="E25" s="21"/>
      <c r="F25" s="116"/>
    </row>
    <row r="26" customFormat="false" ht="15" hidden="false" customHeight="false" outlineLevel="0" collapsed="false">
      <c r="C26" s="24"/>
      <c r="D26" s="18" t="s">
        <v>1196</v>
      </c>
      <c r="E26" s="21" t="s">
        <v>1189</v>
      </c>
      <c r="F26" s="124"/>
      <c r="G26" s="21"/>
      <c r="H26" s="19" t="n">
        <v>16</v>
      </c>
    </row>
    <row r="27" customFormat="false" ht="15" hidden="false" customHeight="false" outlineLevel="0" collapsed="false">
      <c r="C27" s="24"/>
      <c r="D27" s="18" t="s">
        <v>1196</v>
      </c>
      <c r="E27" s="21" t="s">
        <v>1192</v>
      </c>
      <c r="F27" s="124"/>
      <c r="G27" s="21"/>
      <c r="H27" s="19" t="n">
        <v>16</v>
      </c>
    </row>
    <row r="28" customFormat="false" ht="15" hidden="false" customHeight="false" outlineLevel="0" collapsed="false">
      <c r="C28" s="24"/>
      <c r="D28" s="18"/>
      <c r="E28" s="19"/>
      <c r="F28" s="116"/>
    </row>
    <row r="29" customFormat="false" ht="15" hidden="false" customHeight="false" outlineLevel="0" collapsed="false">
      <c r="C29" s="24"/>
      <c r="D29" s="18"/>
      <c r="E29" s="19"/>
      <c r="F29" s="116"/>
    </row>
    <row r="30" customFormat="false" ht="15" hidden="false" customHeight="false" outlineLevel="0" collapsed="false">
      <c r="C30" s="24"/>
      <c r="D30" s="18"/>
      <c r="E30" s="19"/>
      <c r="F30" s="116"/>
    </row>
    <row r="31" customFormat="false" ht="15" hidden="false" customHeight="false" outlineLevel="0" collapsed="false">
      <c r="C31" s="24"/>
      <c r="D31" s="18"/>
      <c r="E31" s="19"/>
      <c r="F31" s="116"/>
    </row>
    <row r="32" customFormat="false" ht="15" hidden="false" customHeight="false" outlineLevel="0" collapsed="false">
      <c r="C32" s="18"/>
      <c r="D32" s="18"/>
      <c r="E32" s="19"/>
      <c r="F32" s="18"/>
    </row>
    <row r="34" customFormat="false" ht="15" hidden="false" customHeight="false" outlineLevel="0" collapsed="false">
      <c r="C34" s="2" t="s">
        <v>1197</v>
      </c>
    </row>
  </sheetData>
  <mergeCells count="9">
    <mergeCell ref="C6:H6"/>
    <mergeCell ref="D7:H7"/>
    <mergeCell ref="D8:H8"/>
    <mergeCell ref="D9:H9"/>
    <mergeCell ref="D10:H10"/>
    <mergeCell ref="D11:H11"/>
    <mergeCell ref="D13:G13"/>
    <mergeCell ref="C14:H14"/>
    <mergeCell ref="D15:G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8:G34"/>
  <sheetViews>
    <sheetView showFormulas="false" showGridLines="true" showRowColHeaders="true" showZeros="true" rightToLeft="false" tabSelected="false" showOutlineSymbols="true" defaultGridColor="true" view="normal" topLeftCell="A14" colorId="64" zoomScale="110" zoomScaleNormal="110" zoomScalePageLayoutView="100" workbookViewId="0">
      <selection pane="topLeft" activeCell="F19" activeCellId="0" sqref="F19"/>
    </sheetView>
  </sheetViews>
  <sheetFormatPr defaultColWidth="11.1484375" defaultRowHeight="15" zeroHeight="false" outlineLevelRow="0" outlineLevelCol="0"/>
  <cols>
    <col collapsed="false" customWidth="true" hidden="false" outlineLevel="0" max="1" min="1" style="2" width="4.42"/>
    <col collapsed="false" customWidth="true" hidden="false" outlineLevel="0" max="3" min="3" style="2" width="31.57"/>
    <col collapsed="false" customWidth="true" hidden="true" outlineLevel="0" max="4" min="4" style="2" width="11.43"/>
    <col collapsed="false" customWidth="true" hidden="false" outlineLevel="0" max="6" min="6" style="2" width="9.14"/>
  </cols>
  <sheetData>
    <row r="8" customFormat="false" ht="15.75" hidden="false" customHeight="false" outlineLevel="0" collapsed="false">
      <c r="B8" s="5" t="s">
        <v>0</v>
      </c>
      <c r="C8" s="5"/>
      <c r="D8" s="5"/>
      <c r="E8" s="5"/>
      <c r="F8" s="5"/>
      <c r="G8" s="5"/>
    </row>
    <row r="9" customFormat="false" ht="15.75" hidden="false" customHeight="false" outlineLevel="0" collapsed="false">
      <c r="B9" s="1"/>
      <c r="C9" s="10" t="s">
        <v>1155</v>
      </c>
      <c r="D9" s="10"/>
      <c r="E9" s="10"/>
      <c r="F9" s="10"/>
      <c r="G9" s="10"/>
    </row>
    <row r="10" customFormat="false" ht="15" hidden="false" customHeight="false" outlineLevel="0" collapsed="false">
      <c r="B10" s="1"/>
      <c r="C10" s="27" t="s">
        <v>1156</v>
      </c>
      <c r="D10" s="27"/>
      <c r="E10" s="27"/>
      <c r="F10" s="27"/>
      <c r="G10" s="27"/>
    </row>
    <row r="11" customFormat="false" ht="15" hidden="false" customHeight="false" outlineLevel="0" collapsed="false">
      <c r="B11" s="1"/>
      <c r="C11" s="8" t="s">
        <v>1157</v>
      </c>
      <c r="D11" s="8"/>
      <c r="E11" s="8"/>
      <c r="F11" s="8"/>
      <c r="G11" s="8"/>
    </row>
    <row r="12" customFormat="false" ht="15" hidden="false" customHeight="false" outlineLevel="0" collapsed="false">
      <c r="B12" s="1"/>
      <c r="C12" s="8" t="s">
        <v>4</v>
      </c>
      <c r="D12" s="8"/>
      <c r="E12" s="8"/>
      <c r="F12" s="8"/>
      <c r="G12" s="8"/>
    </row>
    <row r="13" customFormat="false" ht="15" hidden="false" customHeight="false" outlineLevel="0" collapsed="false">
      <c r="B13" s="1"/>
      <c r="C13" s="118" t="s">
        <v>57</v>
      </c>
      <c r="D13" s="118"/>
      <c r="E13" s="118"/>
      <c r="F13" s="118"/>
      <c r="G13" s="118"/>
    </row>
    <row r="14" customFormat="false" ht="15" hidden="false" customHeight="false" outlineLevel="0" collapsed="false">
      <c r="B14" s="1"/>
      <c r="D14" s="3"/>
      <c r="E14" s="3"/>
    </row>
    <row r="15" customFormat="false" ht="15" hidden="false" customHeight="false" outlineLevel="0" collapsed="false">
      <c r="B15" s="1"/>
      <c r="C15" s="119"/>
      <c r="D15" s="119"/>
      <c r="E15" s="119"/>
      <c r="F15" s="119"/>
    </row>
    <row r="16" customFormat="false" ht="15.75" hidden="false" customHeight="false" outlineLevel="0" collapsed="false">
      <c r="B16" s="123" t="s">
        <v>1198</v>
      </c>
      <c r="C16" s="123"/>
      <c r="D16" s="123"/>
      <c r="E16" s="123"/>
      <c r="F16" s="123"/>
      <c r="G16" s="123"/>
    </row>
    <row r="17" customFormat="false" ht="15.75" hidden="false" customHeight="false" outlineLevel="0" collapsed="false">
      <c r="B17" s="120"/>
      <c r="C17" s="121"/>
      <c r="D17" s="121"/>
      <c r="E17" s="121"/>
      <c r="F17" s="121"/>
    </row>
    <row r="18" customFormat="false" ht="15" hidden="false" customHeight="false" outlineLevel="0" collapsed="false">
      <c r="B18" s="15" t="s">
        <v>7</v>
      </c>
      <c r="C18" s="16" t="s">
        <v>1199</v>
      </c>
      <c r="E18" s="16" t="s">
        <v>9</v>
      </c>
      <c r="F18" s="16" t="s">
        <v>10</v>
      </c>
      <c r="G18" s="16" t="s">
        <v>11</v>
      </c>
    </row>
    <row r="19" customFormat="false" ht="15" hidden="false" customHeight="false" outlineLevel="0" collapsed="false">
      <c r="B19" s="18"/>
      <c r="C19" s="18" t="s">
        <v>1200</v>
      </c>
      <c r="D19" s="21"/>
      <c r="E19" s="116" t="s">
        <v>1201</v>
      </c>
      <c r="F19" s="21"/>
      <c r="G19" s="19" t="n">
        <v>16</v>
      </c>
    </row>
    <row r="20" customFormat="false" ht="15" hidden="false" customHeight="false" outlineLevel="0" collapsed="false">
      <c r="B20" s="18"/>
      <c r="C20" s="18" t="s">
        <v>1202</v>
      </c>
      <c r="D20" s="21"/>
      <c r="E20" s="116" t="s">
        <v>1201</v>
      </c>
      <c r="F20" s="21"/>
      <c r="G20" s="19" t="n">
        <v>16</v>
      </c>
    </row>
    <row r="21" customFormat="false" ht="15" hidden="false" customHeight="false" outlineLevel="0" collapsed="false">
      <c r="B21" s="18"/>
      <c r="C21" s="2" t="s">
        <v>1203</v>
      </c>
      <c r="E21" s="3" t="s">
        <v>1201</v>
      </c>
      <c r="F21" s="21"/>
      <c r="G21" s="19" t="n">
        <v>16</v>
      </c>
    </row>
    <row r="22" customFormat="false" ht="15" hidden="false" customHeight="false" outlineLevel="0" collapsed="false">
      <c r="B22" s="18"/>
      <c r="C22" s="18" t="s">
        <v>1204</v>
      </c>
      <c r="D22" s="21"/>
      <c r="E22" s="116" t="s">
        <v>9</v>
      </c>
      <c r="F22" s="21"/>
      <c r="G22" s="19" t="n">
        <v>16</v>
      </c>
    </row>
    <row r="23" customFormat="false" ht="15" hidden="false" customHeight="false" outlineLevel="0" collapsed="false">
      <c r="B23" s="18"/>
      <c r="C23" s="18" t="s">
        <v>1205</v>
      </c>
      <c r="D23" s="21"/>
      <c r="E23" s="116" t="s">
        <v>9</v>
      </c>
      <c r="F23" s="21"/>
      <c r="G23" s="19" t="n">
        <v>16</v>
      </c>
    </row>
    <row r="24" customFormat="false" ht="15" hidden="false" customHeight="false" outlineLevel="0" collapsed="false">
      <c r="B24" s="18"/>
      <c r="C24" s="18" t="s">
        <v>1206</v>
      </c>
      <c r="D24" s="21"/>
      <c r="E24" s="116" t="s">
        <v>9</v>
      </c>
      <c r="F24" s="21"/>
      <c r="G24" s="19" t="n">
        <v>16</v>
      </c>
    </row>
    <row r="25" customFormat="false" ht="15" hidden="false" customHeight="false" outlineLevel="0" collapsed="false">
      <c r="B25" s="18"/>
      <c r="C25" s="18" t="s">
        <v>1207</v>
      </c>
      <c r="D25" s="21"/>
      <c r="E25" s="116" t="s">
        <v>1208</v>
      </c>
      <c r="F25" s="21"/>
      <c r="G25" s="19" t="n">
        <v>16</v>
      </c>
    </row>
    <row r="26" customFormat="false" ht="15" hidden="false" customHeight="false" outlineLevel="0" collapsed="false">
      <c r="B26" s="18"/>
      <c r="C26" s="18" t="s">
        <v>1209</v>
      </c>
      <c r="D26" s="21"/>
      <c r="E26" s="116" t="s">
        <v>9</v>
      </c>
      <c r="F26" s="21"/>
      <c r="G26" s="19" t="n">
        <v>16</v>
      </c>
    </row>
    <row r="27" customFormat="false" ht="15" hidden="false" customHeight="false" outlineLevel="0" collapsed="false">
      <c r="B27" s="24"/>
      <c r="C27" s="18" t="s">
        <v>1210</v>
      </c>
      <c r="D27" s="21"/>
      <c r="E27" s="116" t="s">
        <v>9</v>
      </c>
      <c r="F27" s="21"/>
      <c r="G27" s="19" t="n">
        <v>16</v>
      </c>
    </row>
    <row r="28" customFormat="false" ht="15" hidden="false" customHeight="false" outlineLevel="0" collapsed="false">
      <c r="B28" s="24"/>
      <c r="C28" s="18" t="s">
        <v>1211</v>
      </c>
      <c r="D28" s="21"/>
      <c r="E28" s="116" t="s">
        <v>9</v>
      </c>
      <c r="F28" s="21"/>
      <c r="G28" s="19" t="n">
        <v>16</v>
      </c>
    </row>
    <row r="29" customFormat="false" ht="15" hidden="false" customHeight="false" outlineLevel="0" collapsed="false">
      <c r="B29" s="24"/>
      <c r="C29" s="18" t="s">
        <v>1212</v>
      </c>
      <c r="D29" s="21"/>
      <c r="E29" s="116" t="s">
        <v>1208</v>
      </c>
      <c r="F29" s="21"/>
      <c r="G29" s="19" t="n">
        <v>16</v>
      </c>
    </row>
    <row r="30" customFormat="false" ht="15" hidden="false" customHeight="false" outlineLevel="0" collapsed="false">
      <c r="B30" s="24"/>
      <c r="C30" s="18" t="s">
        <v>1213</v>
      </c>
      <c r="D30" s="21"/>
      <c r="E30" s="116" t="s">
        <v>9</v>
      </c>
      <c r="F30" s="21"/>
      <c r="G30" s="19" t="n">
        <v>16</v>
      </c>
    </row>
    <row r="31" customFormat="false" ht="15" hidden="false" customHeight="false" outlineLevel="0" collapsed="false">
      <c r="B31" s="24"/>
      <c r="C31" s="18" t="s">
        <v>1214</v>
      </c>
      <c r="D31" s="19"/>
      <c r="E31" s="116"/>
      <c r="F31" s="21"/>
      <c r="G31" s="19" t="n">
        <v>16</v>
      </c>
    </row>
    <row r="32" customFormat="false" ht="15" hidden="false" customHeight="false" outlineLevel="0" collapsed="false">
      <c r="B32" s="24"/>
      <c r="C32" s="18"/>
      <c r="D32" s="19"/>
      <c r="E32" s="116"/>
      <c r="F32" s="21"/>
      <c r="G32" s="19" t="n">
        <v>16</v>
      </c>
    </row>
    <row r="33" customFormat="false" ht="15" hidden="false" customHeight="false" outlineLevel="0" collapsed="false">
      <c r="B33" s="24"/>
      <c r="C33" s="18"/>
      <c r="D33" s="19"/>
      <c r="E33" s="116"/>
      <c r="F33" s="21"/>
      <c r="G33" s="19" t="n">
        <v>16</v>
      </c>
    </row>
    <row r="34" customFormat="false" ht="15" hidden="false" customHeight="false" outlineLevel="0" collapsed="false">
      <c r="B34" s="18"/>
      <c r="C34" s="18"/>
      <c r="D34" s="19"/>
      <c r="E34" s="18"/>
      <c r="F34" s="21"/>
      <c r="G34" s="19" t="n">
        <v>16</v>
      </c>
    </row>
  </sheetData>
  <mergeCells count="9">
    <mergeCell ref="B8:G8"/>
    <mergeCell ref="C9:G9"/>
    <mergeCell ref="C10:G10"/>
    <mergeCell ref="C11:G11"/>
    <mergeCell ref="C12:G12"/>
    <mergeCell ref="C13:G13"/>
    <mergeCell ref="C15:F15"/>
    <mergeCell ref="B16:G16"/>
    <mergeCell ref="C17:F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3" activeCellId="0" sqref="A23"/>
    </sheetView>
  </sheetViews>
  <sheetFormatPr defaultColWidth="11.53515625" defaultRowHeight="18.9" zeroHeight="false" outlineLevelRow="0" outlineLevelCol="0"/>
  <cols>
    <col collapsed="false" customWidth="true" hidden="false" outlineLevel="0" max="1" min="1" style="0" width="8.24"/>
    <col collapsed="false" customWidth="true" hidden="false" outlineLevel="0" max="2" min="2" style="0" width="40.47"/>
    <col collapsed="false" customWidth="true" hidden="false" outlineLevel="0" max="3" min="3" style="0" width="9.23"/>
    <col collapsed="false" customWidth="true" hidden="false" outlineLevel="0" max="4" min="4" style="0" width="8.99"/>
    <col collapsed="false" customWidth="true" hidden="false" outlineLevel="0" max="5" min="5" style="0" width="6.21"/>
    <col collapsed="false" customWidth="true" hidden="false" outlineLevel="0" max="6" min="6" style="0" width="8.99"/>
    <col collapsed="false" customWidth="true" hidden="false" outlineLevel="0" max="7" min="7" style="0" width="15.94"/>
  </cols>
  <sheetData>
    <row r="2" customFormat="false" ht="24.85" hidden="false" customHeight="true" outlineLevel="0" collapsed="false">
      <c r="A2" s="44" t="s">
        <v>167</v>
      </c>
      <c r="B2" s="45" t="s">
        <v>168</v>
      </c>
      <c r="C2" s="45" t="s">
        <v>9</v>
      </c>
      <c r="D2" s="46" t="s">
        <v>10</v>
      </c>
      <c r="E2" s="47" t="s">
        <v>11</v>
      </c>
      <c r="F2" s="48" t="s">
        <v>169</v>
      </c>
    </row>
    <row r="3" customFormat="false" ht="18.9" hidden="false" customHeight="true" outlineLevel="0" collapsed="false">
      <c r="A3" s="49" t="n">
        <v>1007</v>
      </c>
      <c r="B3" s="50" t="s">
        <v>215</v>
      </c>
      <c r="C3" s="50" t="s">
        <v>635</v>
      </c>
      <c r="D3" s="51" t="n">
        <v>7580</v>
      </c>
      <c r="E3" s="52" t="n">
        <v>0.19</v>
      </c>
      <c r="F3" s="51" t="n">
        <f aca="false">+D3*(1+E3)</f>
        <v>9020.2</v>
      </c>
    </row>
    <row r="4" customFormat="false" ht="18.9" hidden="false" customHeight="true" outlineLevel="0" collapsed="false">
      <c r="A4" s="49" t="s">
        <v>228</v>
      </c>
      <c r="B4" s="50" t="s">
        <v>1215</v>
      </c>
      <c r="C4" s="50" t="s">
        <v>9</v>
      </c>
      <c r="D4" s="51" t="n">
        <v>1779</v>
      </c>
      <c r="E4" s="52" t="n">
        <v>0.19</v>
      </c>
      <c r="F4" s="51" t="n">
        <f aca="false">+D4*(1+E4)</f>
        <v>2117.01</v>
      </c>
    </row>
    <row r="5" customFormat="false" ht="18.9" hidden="false" customHeight="true" outlineLevel="0" collapsed="false">
      <c r="A5" s="49" t="s">
        <v>236</v>
      </c>
      <c r="B5" s="50" t="s">
        <v>237</v>
      </c>
      <c r="C5" s="50" t="s">
        <v>9</v>
      </c>
      <c r="D5" s="51" t="n">
        <v>1779</v>
      </c>
      <c r="E5" s="52" t="n">
        <v>0.19</v>
      </c>
      <c r="F5" s="51" t="n">
        <f aca="false">+D5*(1+E5)</f>
        <v>2117.01</v>
      </c>
    </row>
    <row r="6" customFormat="false" ht="18.9" hidden="false" customHeight="true" outlineLevel="0" collapsed="false">
      <c r="A6" s="49" t="s">
        <v>664</v>
      </c>
      <c r="B6" s="50" t="s">
        <v>665</v>
      </c>
      <c r="C6" s="50" t="s">
        <v>635</v>
      </c>
      <c r="D6" s="51" t="n">
        <v>6294</v>
      </c>
      <c r="E6" s="52" t="n">
        <v>0.19</v>
      </c>
      <c r="F6" s="51" t="n">
        <f aca="false">+D6*(1+E6)</f>
        <v>7489.86</v>
      </c>
    </row>
    <row r="7" customFormat="false" ht="18.9" hidden="false" customHeight="true" outlineLevel="0" collapsed="false">
      <c r="A7" s="49" t="s">
        <v>670</v>
      </c>
      <c r="B7" s="50" t="s">
        <v>671</v>
      </c>
      <c r="C7" s="50" t="s">
        <v>14</v>
      </c>
      <c r="D7" s="51" t="n">
        <v>1382</v>
      </c>
      <c r="E7" s="52" t="n">
        <v>0.19</v>
      </c>
      <c r="F7" s="51" t="n">
        <f aca="false">+D7*(1+E7)</f>
        <v>1644.58</v>
      </c>
    </row>
    <row r="8" customFormat="false" ht="18.9" hidden="false" customHeight="true" outlineLevel="0" collapsed="false">
      <c r="A8" s="49" t="s">
        <v>414</v>
      </c>
      <c r="B8" s="50" t="s">
        <v>415</v>
      </c>
      <c r="C8" s="50" t="s">
        <v>9</v>
      </c>
      <c r="D8" s="51" t="n">
        <v>2320</v>
      </c>
      <c r="E8" s="52" t="n">
        <v>0</v>
      </c>
      <c r="F8" s="51" t="n">
        <f aca="false">+D8*(1+E8)</f>
        <v>2320</v>
      </c>
    </row>
    <row r="9" customFormat="false" ht="18.9" hidden="false" customHeight="true" outlineLevel="0" collapsed="false">
      <c r="A9" s="49" t="s">
        <v>337</v>
      </c>
      <c r="B9" s="50" t="s">
        <v>338</v>
      </c>
      <c r="C9" s="50" t="s">
        <v>9</v>
      </c>
      <c r="D9" s="51" t="n">
        <v>3710</v>
      </c>
      <c r="E9" s="52" t="n">
        <v>0</v>
      </c>
      <c r="F9" s="51" t="n">
        <f aca="false">+D9*(1+E9)</f>
        <v>3710</v>
      </c>
    </row>
    <row r="10" customFormat="false" ht="18.9" hidden="false" customHeight="true" outlineLevel="0" collapsed="false">
      <c r="A10" s="49" t="s">
        <v>523</v>
      </c>
      <c r="B10" s="50" t="s">
        <v>524</v>
      </c>
      <c r="C10" s="50" t="s">
        <v>525</v>
      </c>
      <c r="D10" s="51" t="n">
        <v>2588</v>
      </c>
      <c r="E10" s="52" t="n">
        <v>0.19</v>
      </c>
      <c r="F10" s="51" t="n">
        <f aca="false">+D10*(1+E10)</f>
        <v>3079.72</v>
      </c>
    </row>
    <row r="11" customFormat="false" ht="18.9" hidden="false" customHeight="true" outlineLevel="0" collapsed="false">
      <c r="A11" s="49" t="s">
        <v>528</v>
      </c>
      <c r="B11" s="50" t="s">
        <v>529</v>
      </c>
      <c r="C11" s="50" t="s">
        <v>525</v>
      </c>
      <c r="D11" s="51" t="n">
        <v>2588</v>
      </c>
      <c r="E11" s="52" t="n">
        <v>0.19</v>
      </c>
      <c r="F11" s="51" t="n">
        <f aca="false">+D11*(1+E11)</f>
        <v>3079.72</v>
      </c>
    </row>
    <row r="12" customFormat="false" ht="18.9" hidden="false" customHeight="true" outlineLevel="0" collapsed="false">
      <c r="A12" s="49" t="s">
        <v>808</v>
      </c>
      <c r="B12" s="50" t="s">
        <v>809</v>
      </c>
      <c r="C12" s="50" t="s">
        <v>635</v>
      </c>
      <c r="D12" s="51" t="n">
        <v>3504</v>
      </c>
      <c r="E12" s="52" t="n">
        <v>0.19</v>
      </c>
      <c r="F12" s="51" t="n">
        <f aca="false">+D12*(1+E12)</f>
        <v>4169.76</v>
      </c>
      <c r="G12" s="125" t="s">
        <v>1216</v>
      </c>
    </row>
    <row r="13" customFormat="false" ht="18.9" hidden="false" customHeight="true" outlineLevel="0" collapsed="false">
      <c r="A13" s="49" t="s">
        <v>892</v>
      </c>
      <c r="B13" s="50" t="s">
        <v>893</v>
      </c>
      <c r="C13" s="50" t="s">
        <v>635</v>
      </c>
      <c r="D13" s="51" t="n">
        <v>4265</v>
      </c>
      <c r="E13" s="52" t="n">
        <v>0.19</v>
      </c>
      <c r="F13" s="51" t="n">
        <f aca="false">+D13*(1+E13)</f>
        <v>5075.35</v>
      </c>
    </row>
    <row r="14" customFormat="false" ht="18.9" hidden="false" customHeight="true" outlineLevel="0" collapsed="false">
      <c r="A14" s="49" t="s">
        <v>591</v>
      </c>
      <c r="B14" s="50" t="s">
        <v>592</v>
      </c>
      <c r="C14" s="50" t="s">
        <v>635</v>
      </c>
      <c r="D14" s="51" t="n">
        <v>8211</v>
      </c>
      <c r="E14" s="52" t="n">
        <v>0.19</v>
      </c>
      <c r="F14" s="51" t="n">
        <f aca="false">+D14*(1+E14)</f>
        <v>9771.09</v>
      </c>
    </row>
    <row r="15" customFormat="false" ht="18.9" hidden="false" customHeight="true" outlineLevel="0" collapsed="false">
      <c r="A15" s="49"/>
      <c r="B15" s="50" t="s">
        <v>1217</v>
      </c>
      <c r="C15" s="50" t="s">
        <v>9</v>
      </c>
      <c r="D15" s="51" t="n">
        <v>1671</v>
      </c>
      <c r="E15" s="52" t="n">
        <v>0.19</v>
      </c>
      <c r="F15" s="51" t="n">
        <f aca="false">D15*1.19</f>
        <v>1988.49</v>
      </c>
    </row>
    <row r="16" customFormat="false" ht="18.9" hidden="false" customHeight="true" outlineLevel="0" collapsed="false">
      <c r="A16" s="49"/>
      <c r="B16" s="50" t="s">
        <v>1218</v>
      </c>
      <c r="C16" s="50" t="s">
        <v>9</v>
      </c>
      <c r="D16" s="51" t="n">
        <v>1671</v>
      </c>
      <c r="E16" s="52" t="n">
        <v>0.19</v>
      </c>
      <c r="F16" s="51" t="n">
        <f aca="false">D16*1.19</f>
        <v>1988.49</v>
      </c>
    </row>
    <row r="17" customFormat="false" ht="18.9" hidden="false" customHeight="true" outlineLevel="0" collapsed="false">
      <c r="A17" s="49"/>
      <c r="B17" s="50" t="s">
        <v>1219</v>
      </c>
      <c r="C17" s="50" t="s">
        <v>9</v>
      </c>
      <c r="D17" s="51" t="n">
        <v>1671</v>
      </c>
      <c r="E17" s="52" t="n">
        <v>0.19</v>
      </c>
      <c r="F17" s="51" t="n">
        <f aca="false">D17*1.19</f>
        <v>1988.49</v>
      </c>
    </row>
    <row r="18" customFormat="false" ht="18.9" hidden="false" customHeight="true" outlineLevel="0" collapsed="false">
      <c r="A18" s="49" t="s">
        <v>1220</v>
      </c>
      <c r="B18" s="50" t="s">
        <v>1221</v>
      </c>
      <c r="C18" s="50" t="s">
        <v>635</v>
      </c>
      <c r="D18" s="51" t="n">
        <v>10000</v>
      </c>
      <c r="E18" s="52" t="n">
        <v>0.19</v>
      </c>
      <c r="F18" s="51" t="n">
        <f aca="false">D18*1.19</f>
        <v>11900</v>
      </c>
    </row>
    <row r="19" customFormat="false" ht="18.9" hidden="false" customHeight="true" outlineLevel="0" collapsed="false">
      <c r="A19" s="49" t="s">
        <v>1222</v>
      </c>
      <c r="B19" s="50" t="s">
        <v>1223</v>
      </c>
      <c r="C19" s="50" t="s">
        <v>635</v>
      </c>
      <c r="D19" s="51" t="n">
        <v>5141</v>
      </c>
      <c r="E19" s="52" t="n">
        <v>0.19</v>
      </c>
      <c r="F19" s="51" t="n">
        <f aca="false">D19*1.19</f>
        <v>6117.79</v>
      </c>
    </row>
    <row r="20" customFormat="false" ht="18.9" hidden="false" customHeight="true" outlineLevel="0" collapsed="false">
      <c r="A20" s="49" t="s">
        <v>1224</v>
      </c>
      <c r="B20" s="50" t="s">
        <v>1225</v>
      </c>
      <c r="C20" s="50" t="s">
        <v>635</v>
      </c>
      <c r="D20" s="51" t="n">
        <v>57540</v>
      </c>
      <c r="E20" s="52" t="n">
        <v>0.19</v>
      </c>
      <c r="F20" s="51" t="n">
        <f aca="false">D20+(D20*E20)</f>
        <v>68472.6</v>
      </c>
    </row>
    <row r="21" customFormat="false" ht="18.9" hidden="false" customHeight="true" outlineLevel="0" collapsed="false">
      <c r="A21" s="49" t="s">
        <v>1226</v>
      </c>
      <c r="B21" s="50" t="s">
        <v>1227</v>
      </c>
      <c r="C21" s="50" t="s">
        <v>635</v>
      </c>
      <c r="D21" s="51" t="n">
        <v>9182</v>
      </c>
      <c r="E21" s="52" t="n">
        <v>0.19</v>
      </c>
      <c r="F21" s="51" t="n">
        <f aca="false">D21+(D21*E21)</f>
        <v>10926.58</v>
      </c>
    </row>
    <row r="23" customFormat="false" ht="18.9" hidden="false" customHeight="true" outlineLevel="0" collapsed="false">
      <c r="A23" s="126" t="s">
        <v>1228</v>
      </c>
      <c r="B23" s="126"/>
      <c r="C23" s="126"/>
      <c r="D23" s="126"/>
      <c r="E23" s="126"/>
      <c r="F23" s="126"/>
    </row>
    <row r="24" customFormat="false" ht="18.9" hidden="false" customHeight="true" outlineLevel="0" collapsed="false">
      <c r="A24" s="126"/>
      <c r="B24" s="126"/>
      <c r="C24" s="126"/>
      <c r="D24" s="126"/>
      <c r="E24" s="126"/>
      <c r="F24" s="126"/>
    </row>
    <row r="25" customFormat="false" ht="18.9" hidden="false" customHeight="true" outlineLevel="0" collapsed="false">
      <c r="A25" s="126"/>
      <c r="B25" s="126"/>
      <c r="C25" s="126"/>
      <c r="D25" s="126"/>
      <c r="E25" s="126"/>
      <c r="F25" s="126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23:F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1239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2008-04-17T12:33:30Z</dcterms:created>
  <dc:creator>servidor</dc:creator>
  <dc:description/>
  <dc:language>es-CO</dc:language>
  <cp:lastModifiedBy/>
  <cp:lastPrinted>2025-06-18T13:00:47Z</cp:lastPrinted>
  <dcterms:modified xsi:type="dcterms:W3CDTF">2026-01-22T11:31:44Z</dcterms:modified>
  <cp:revision>179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 DAP Default">
    <vt:lpwstr>NODEFAULTDAP</vt:lpwstr>
  </property>
  <property fmtid="{D5CDD505-2E9C-101B-9397-08002B2CF9AE}" pid="3" name="SE Mode">
    <vt:lpwstr>student</vt:lpwstr>
  </property>
</Properties>
</file>