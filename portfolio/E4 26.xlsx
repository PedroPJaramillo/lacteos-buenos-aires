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jpeg" ContentType="image/jpeg"/>
  <Override PartName="/xl/media/image5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<sst xmlns="http://schemas.openxmlformats.org/spreadsheetml/2006/main" count="67" uniqueCount="48">
  <si>
    <t xml:space="preserve">LÁCTEOS BUENOS AIRES</t>
  </si>
  <si>
    <t xml:space="preserve">CÓDIGO</t>
  </si>
  <si>
    <t xml:space="preserve">PRODUCTO</t>
  </si>
  <si>
    <t xml:space="preserve">UNIDAD</t>
  </si>
  <si>
    <t xml:space="preserve">PRECIO*</t>
  </si>
  <si>
    <t xml:space="preserve">IVA</t>
  </si>
  <si>
    <t xml:space="preserve">P. FINAL</t>
  </si>
  <si>
    <t xml:space="preserve">EQ3199</t>
  </si>
  <si>
    <t xml:space="preserve">COCONUT MILK KARI 400ML </t>
  </si>
  <si>
    <t xml:space="preserve">UND</t>
  </si>
  <si>
    <t xml:space="preserve">EQ3200</t>
  </si>
  <si>
    <t xml:space="preserve">CREMA DE COCO KARI 400ML </t>
  </si>
  <si>
    <t xml:space="preserve">EQ7033</t>
  </si>
  <si>
    <t xml:space="preserve">LICHIS ENTEROS EN JARABE KARI LATA X 565</t>
  </si>
  <si>
    <t xml:space="preserve">EQ3625</t>
  </si>
  <si>
    <t xml:space="preserve">VINAGRE BALSAMICO MODENA COLAVITA 5L</t>
  </si>
  <si>
    <t xml:space="preserve">EQ3626</t>
  </si>
  <si>
    <t xml:space="preserve">VINAGRE BALSAMICO MODENA COLAVITA 500ML </t>
  </si>
  <si>
    <t xml:space="preserve">EQ2274</t>
  </si>
  <si>
    <t xml:space="preserve">PAPEL ALUMINIO KARI ROLLO X 300 Mts</t>
  </si>
  <si>
    <t xml:space="preserve">EQ2992</t>
  </si>
  <si>
    <t xml:space="preserve">MAYONESA KARI EXTRA HEAVY X 3,785G</t>
  </si>
  <si>
    <t xml:space="preserve">EQ8617</t>
  </si>
  <si>
    <t xml:space="preserve">MAYONESA CHEFT KARI X3,785G </t>
  </si>
  <si>
    <t xml:space="preserve">EQ4096</t>
  </si>
  <si>
    <t xml:space="preserve">CEREZA MARASCHINO KARI X 1000G.</t>
  </si>
  <si>
    <t xml:space="preserve">EQ3523</t>
  </si>
  <si>
    <t xml:space="preserve">ACEITE DE OLIVA EXTRA R-SALGADO EXT V PET X 1 L</t>
  </si>
  <si>
    <t xml:space="preserve">EQ6564</t>
  </si>
  <si>
    <t xml:space="preserve">ACEITE DE OLIVA EXTRA VIRGEN 5mL</t>
  </si>
  <si>
    <t xml:space="preserve">EQ4132</t>
  </si>
  <si>
    <t xml:space="preserve">DURAZNO EN MITADES  x 3000 GR</t>
  </si>
  <si>
    <t xml:space="preserve">EQ3863</t>
  </si>
  <si>
    <t xml:space="preserve">DURAZNO EN MITADES x 820 GR</t>
  </si>
  <si>
    <t xml:space="preserve">EQ9143</t>
  </si>
  <si>
    <t xml:space="preserve">DURAZNO EN MITADES  x 410 GR</t>
  </si>
  <si>
    <t xml:space="preserve">EQ3286</t>
  </si>
  <si>
    <t xml:space="preserve">ACEITUNAS NEGRA RODAJAS KARI 3100 GR</t>
  </si>
  <si>
    <t xml:space="preserve">EQ4030</t>
  </si>
  <si>
    <t xml:space="preserve">ACEITUNA VERDE DESHUESADA KARI 3100GR</t>
  </si>
  <si>
    <t xml:space="preserve">EQ4050</t>
  </si>
  <si>
    <t xml:space="preserve">ACEITUNA NEGRA DESHUESADA KARI 3100GR</t>
  </si>
  <si>
    <t xml:space="preserve">EQ0019</t>
  </si>
  <si>
    <t xml:space="preserve">BEBIDA ALMENDRA BARISTA X 1L</t>
  </si>
  <si>
    <t xml:space="preserve">EQ3302</t>
  </si>
  <si>
    <t xml:space="preserve">BEBIDA ALMENDRA SIN AZUCAR X 1L</t>
  </si>
  <si>
    <t xml:space="preserve">EQ0199</t>
  </si>
  <si>
    <t xml:space="preserve">BEBIDA AVENA BARISTA X 1L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</si>
</sst>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240A]#,##0;[RED]\([$$-240A]#,##0\)"/>
    <numFmt numFmtId="166" formatCode="0%"/>
    <numFmt numFmtId="167" formatCode="_-&quot;$ &quot;* #,##0_-;&quot;-$ &quot;* #,##0_-;_-&quot;$ &quot;* \-_-;_-@_-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38160</xdr:colOff>
      <xdr:row>1</xdr:row>
      <xdr:rowOff>-720</xdr:rowOff>
    </xdr:from>
    <xdr:to>
      <xdr:col>4</xdr:col>
      <xdr:colOff>803160</xdr:colOff>
      <xdr:row>6</xdr:row>
      <xdr:rowOff>223200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8160" y="174600"/>
          <a:ext cx="1429200" cy="164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2143440</xdr:colOff>
      <xdr:row>3</xdr:row>
      <xdr:rowOff>11880</xdr:rowOff>
    </xdr:from>
    <xdr:to>
      <xdr:col>5</xdr:col>
      <xdr:colOff>57240</xdr:colOff>
      <xdr:row>6</xdr:row>
      <xdr:rowOff>79560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2807640" y="754920"/>
          <a:ext cx="1065240" cy="91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228960</xdr:colOff>
      <xdr:row>2</xdr:row>
      <xdr:rowOff>164520</xdr:rowOff>
    </xdr:from>
    <xdr:to>
      <xdr:col>6</xdr:col>
      <xdr:colOff>598320</xdr:colOff>
      <xdr:row>5</xdr:row>
      <xdr:rowOff>283320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4044600" y="623520"/>
          <a:ext cx="1024200" cy="97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12240</xdr:colOff>
      <xdr:row>3</xdr:row>
      <xdr:rowOff>52920</xdr:rowOff>
    </xdr:from>
    <xdr:to>
      <xdr:col>8</xdr:col>
      <xdr:colOff>368280</xdr:colOff>
      <xdr:row>6</xdr:row>
      <xdr:rowOff>70920</xdr:rowOff>
    </xdr:to>
    <xdr:pic>
      <xdr:nvPicPr>
        <xdr:cNvPr id="3" name="Imagen 4" descr=""/>
        <xdr:cNvPicPr/>
      </xdr:nvPicPr>
      <xdr:blipFill>
        <a:blip r:embed="rId4"/>
        <a:stretch/>
      </xdr:blipFill>
      <xdr:spPr>
        <a:xfrm>
          <a:off x="5227560" y="795960"/>
          <a:ext cx="728640" cy="86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975240</xdr:colOff>
      <xdr:row>3</xdr:row>
      <xdr:rowOff>57240</xdr:rowOff>
    </xdr:from>
    <xdr:to>
      <xdr:col>4</xdr:col>
      <xdr:colOff>1904040</xdr:colOff>
      <xdr:row>5</xdr:row>
      <xdr:rowOff>156960</xdr:rowOff>
    </xdr:to>
    <xdr:pic>
      <xdr:nvPicPr>
        <xdr:cNvPr id="4" name="Imagen 6" descr=""/>
        <xdr:cNvPicPr/>
      </xdr:nvPicPr>
      <xdr:blipFill>
        <a:blip r:embed="rId5"/>
        <a:stretch/>
      </xdr:blipFill>
      <xdr:spPr>
        <a:xfrm>
          <a:off x="1639440" y="800280"/>
          <a:ext cx="92880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K28"/>
  <sheetViews>
    <sheetView showFormulas="false" showGridLines="true" showRowColHeaders="true" showZeros="true" rightToLeft="false" tabSelected="true" showOutlineSymbols="true" defaultGridColor="true" view="normal" topLeftCell="A19" colorId="64" zoomScale="110" zoomScaleNormal="110" zoomScalePageLayoutView="100" workbookViewId="0">
      <selection pane="topLeft" activeCell="E13" activeCellId="0" sqref="E13"/>
    </sheetView>
  </sheetViews>
  <sheetFormatPr defaultColWidth="11.1484375" defaultRowHeight="13.8" zeroHeight="false" outlineLevelRow="0" outlineLevelCol="0"/>
  <cols>
    <col collapsed="false" customWidth="true" hidden="true" outlineLevel="0" max="1" min="1" style="1" width="11.43"/>
    <col collapsed="false" customWidth="true" hidden="true" outlineLevel="0" max="3" min="2" style="1" width="11"/>
    <col collapsed="false" customWidth="true" hidden="false" outlineLevel="0" max="4" min="4" style="1" width="9.42"/>
    <col collapsed="false" customWidth="true" hidden="false" outlineLevel="0" max="5" min="5" style="1" width="44.71"/>
    <col collapsed="false" customWidth="true" hidden="false" outlineLevel="0" max="6" min="6" style="1" width="9.29"/>
    <col collapsed="false" customWidth="true" hidden="false" outlineLevel="0" max="7" min="7" style="1" width="10.57"/>
    <col collapsed="false" customWidth="true" hidden="false" outlineLevel="0" max="8" min="8" style="1" width="5.29"/>
    <col collapsed="false" customWidth="true" hidden="false" outlineLevel="0" max="9" min="9" style="1" width="8.57"/>
    <col collapsed="false" customWidth="true" hidden="false" outlineLevel="0" max="10" min="10" style="1" width="10.57"/>
    <col collapsed="false" customWidth="true" hidden="true" outlineLevel="0" max="15" min="15" style="1" width="11"/>
  </cols>
  <sheetData>
    <row r="2" customFormat="false" ht="22.35" hidden="false" customHeight="true" outlineLevel="0" collapsed="false">
      <c r="D2" s="2" t="s">
        <v>0</v>
      </c>
      <c r="E2" s="2"/>
      <c r="F2" s="2"/>
      <c r="G2" s="2"/>
      <c r="H2" s="2"/>
      <c r="I2" s="2"/>
    </row>
    <row r="3" customFormat="false" ht="22.35" hidden="false" customHeight="true" outlineLevel="0" collapsed="false">
      <c r="D3" s="3"/>
      <c r="E3" s="3"/>
      <c r="F3" s="3"/>
      <c r="G3" s="3"/>
      <c r="H3" s="3"/>
      <c r="I3" s="3"/>
    </row>
    <row r="4" customFormat="false" ht="22.35" hidden="false" customHeight="true" outlineLevel="0" collapsed="false">
      <c r="D4" s="4"/>
      <c r="E4" s="5"/>
      <c r="F4" s="5"/>
      <c r="G4" s="5"/>
      <c r="H4" s="5"/>
      <c r="I4" s="6"/>
    </row>
    <row r="5" customFormat="false" ht="22.35" hidden="false" customHeight="true" outlineLevel="0" collapsed="false">
      <c r="D5" s="4"/>
      <c r="E5" s="5"/>
      <c r="F5" s="5"/>
      <c r="G5" s="5"/>
      <c r="H5" s="5"/>
      <c r="I5" s="6"/>
    </row>
    <row r="6" customFormat="false" ht="22.35" hidden="false" customHeight="true" outlineLevel="0" collapsed="false">
      <c r="D6" s="4"/>
      <c r="E6" s="5"/>
      <c r="F6" s="5"/>
      <c r="G6" s="5"/>
      <c r="H6" s="5"/>
      <c r="I6" s="6"/>
    </row>
    <row r="7" customFormat="false" ht="22.35" hidden="false" customHeight="true" outlineLevel="0" collapsed="false">
      <c r="D7" s="4"/>
      <c r="E7" s="7"/>
      <c r="F7" s="8"/>
      <c r="G7" s="8"/>
      <c r="H7" s="8"/>
      <c r="I7" s="9"/>
    </row>
    <row r="8" customFormat="false" ht="28.45" hidden="false" customHeight="true" outlineLevel="0" collapsed="false">
      <c r="D8" s="10" t="s">
        <v>1</v>
      </c>
      <c r="E8" s="10" t="s">
        <v>2</v>
      </c>
      <c r="F8" s="11" t="s">
        <v>3</v>
      </c>
      <c r="G8" s="10" t="s">
        <v>4</v>
      </c>
      <c r="H8" s="10" t="s">
        <v>5</v>
      </c>
      <c r="I8" s="11" t="s">
        <v>6</v>
      </c>
      <c r="J8" s="12"/>
    </row>
    <row r="9" customFormat="false" ht="22.35" hidden="false" customHeight="true" outlineLevel="0" collapsed="false">
      <c r="D9" s="13" t="s">
        <v>7</v>
      </c>
      <c r="E9" s="13" t="s">
        <v>8</v>
      </c>
      <c r="F9" s="14" t="s">
        <v>9</v>
      </c>
      <c r="G9" s="13" t="n">
        <v>7600</v>
      </c>
      <c r="H9" s="15" t="n">
        <v>0.19</v>
      </c>
      <c r="I9" s="13" t="n">
        <f aca="false">G9+(G9*H9)</f>
        <v>9044</v>
      </c>
      <c r="K9" s="16"/>
    </row>
    <row r="10" customFormat="false" ht="22.35" hidden="false" customHeight="true" outlineLevel="0" collapsed="false">
      <c r="D10" s="13" t="s">
        <v>10</v>
      </c>
      <c r="E10" s="13" t="s">
        <v>11</v>
      </c>
      <c r="F10" s="13" t="s">
        <v>9</v>
      </c>
      <c r="G10" s="13" t="n">
        <v>9383</v>
      </c>
      <c r="H10" s="15" t="n">
        <v>0.19</v>
      </c>
      <c r="I10" s="13" t="n">
        <f aca="false">G10+(G10*H10)</f>
        <v>11165.77</v>
      </c>
      <c r="K10" s="16"/>
    </row>
    <row r="11" customFormat="false" ht="22.35" hidden="false" customHeight="true" outlineLevel="0" collapsed="false">
      <c r="D11" s="17" t="s">
        <v>12</v>
      </c>
      <c r="E11" s="13" t="s">
        <v>13</v>
      </c>
      <c r="F11" s="17" t="s">
        <v>9</v>
      </c>
      <c r="G11" s="13" t="n">
        <v>10164</v>
      </c>
      <c r="H11" s="15" t="n">
        <v>0.19</v>
      </c>
      <c r="I11" s="13" t="n">
        <f aca="false">G11+(G11*H11)</f>
        <v>12095.16</v>
      </c>
      <c r="K11" s="16"/>
    </row>
    <row r="12" customFormat="false" ht="22.35" hidden="false" customHeight="true" outlineLevel="0" collapsed="false">
      <c r="D12" s="13" t="s">
        <v>14</v>
      </c>
      <c r="E12" s="13" t="s">
        <v>15</v>
      </c>
      <c r="F12" s="13" t="s">
        <v>9</v>
      </c>
      <c r="G12" s="13" t="n">
        <v>73623</v>
      </c>
      <c r="H12" s="15" t="n">
        <v>0.19</v>
      </c>
      <c r="I12" s="13" t="n">
        <f aca="false">G12+(G12*H12)</f>
        <v>87611.37</v>
      </c>
    </row>
    <row r="13" customFormat="false" ht="22.35" hidden="false" customHeight="true" outlineLevel="0" collapsed="false">
      <c r="D13" s="13" t="s">
        <v>16</v>
      </c>
      <c r="E13" s="13" t="s">
        <v>17</v>
      </c>
      <c r="F13" s="13" t="s">
        <v>9</v>
      </c>
      <c r="G13" s="13" t="n">
        <v>16038.56</v>
      </c>
      <c r="H13" s="15" t="n">
        <v>0.19</v>
      </c>
      <c r="I13" s="13" t="n">
        <f aca="false">G13+(G13*H13)</f>
        <v>19085.8864</v>
      </c>
    </row>
    <row r="14" customFormat="false" ht="22.35" hidden="false" customHeight="true" outlineLevel="0" collapsed="false">
      <c r="D14" s="13" t="s">
        <v>18</v>
      </c>
      <c r="E14" s="13" t="s">
        <v>19</v>
      </c>
      <c r="F14" s="13" t="s">
        <v>9</v>
      </c>
      <c r="G14" s="13" t="n">
        <v>69135</v>
      </c>
      <c r="H14" s="15" t="n">
        <v>0.19</v>
      </c>
      <c r="I14" s="13" t="n">
        <f aca="false">G14+(G14*H14)</f>
        <v>82270.65</v>
      </c>
      <c r="K14" s="16"/>
    </row>
    <row r="15" customFormat="false" ht="22.35" hidden="false" customHeight="true" outlineLevel="0" collapsed="false">
      <c r="D15" s="13" t="s">
        <v>20</v>
      </c>
      <c r="E15" s="13" t="s">
        <v>21</v>
      </c>
      <c r="F15" s="13" t="s">
        <v>9</v>
      </c>
      <c r="G15" s="13" t="n">
        <v>68565</v>
      </c>
      <c r="H15" s="15" t="n">
        <v>0.19</v>
      </c>
      <c r="I15" s="13" t="n">
        <f aca="false">G15+(G15*H15)</f>
        <v>81592.35</v>
      </c>
      <c r="K15" s="16"/>
    </row>
    <row r="16" customFormat="false" ht="22.35" hidden="false" customHeight="true" outlineLevel="0" collapsed="false">
      <c r="D16" s="13" t="s">
        <v>22</v>
      </c>
      <c r="E16" s="13" t="s">
        <v>23</v>
      </c>
      <c r="F16" s="13" t="s">
        <v>9</v>
      </c>
      <c r="G16" s="13" t="n">
        <v>63674</v>
      </c>
      <c r="H16" s="15" t="n">
        <v>0.19</v>
      </c>
      <c r="I16" s="13" t="n">
        <f aca="false">G16+(G16*H16)</f>
        <v>75772.06</v>
      </c>
    </row>
    <row r="17" customFormat="false" ht="22.35" hidden="false" customHeight="true" outlineLevel="0" collapsed="false">
      <c r="D17" s="13" t="s">
        <v>24</v>
      </c>
      <c r="E17" s="13" t="s">
        <v>25</v>
      </c>
      <c r="F17" s="13" t="s">
        <v>9</v>
      </c>
      <c r="G17" s="13" t="n">
        <v>24333</v>
      </c>
      <c r="H17" s="15" t="n">
        <v>0.19</v>
      </c>
      <c r="I17" s="13" t="n">
        <f aca="false">G17+(G17*H17)</f>
        <v>28956.27</v>
      </c>
      <c r="K17" s="16"/>
    </row>
    <row r="18" customFormat="false" ht="22.35" hidden="false" customHeight="true" outlineLevel="0" collapsed="false">
      <c r="D18" s="13" t="s">
        <v>26</v>
      </c>
      <c r="E18" s="13" t="s">
        <v>27</v>
      </c>
      <c r="F18" s="13" t="s">
        <v>9</v>
      </c>
      <c r="G18" s="13" t="n">
        <v>66729</v>
      </c>
      <c r="H18" s="15" t="n">
        <v>0.19</v>
      </c>
      <c r="I18" s="13" t="n">
        <f aca="false">G18+(G18*H18)</f>
        <v>79407.51</v>
      </c>
    </row>
    <row r="19" customFormat="false" ht="22.35" hidden="false" customHeight="true" outlineLevel="0" collapsed="false">
      <c r="D19" s="17" t="s">
        <v>28</v>
      </c>
      <c r="E19" s="13" t="s">
        <v>29</v>
      </c>
      <c r="F19" s="13" t="s">
        <v>9</v>
      </c>
      <c r="G19" s="13" t="n">
        <v>245637</v>
      </c>
      <c r="H19" s="15" t="n">
        <v>0.19</v>
      </c>
      <c r="I19" s="13" t="n">
        <f aca="false">G19+(G19*H19)</f>
        <v>292308.03</v>
      </c>
    </row>
    <row r="20" customFormat="false" ht="22.35" hidden="false" customHeight="true" outlineLevel="0" collapsed="false">
      <c r="D20" s="14" t="s">
        <v>30</v>
      </c>
      <c r="E20" s="13" t="s">
        <v>31</v>
      </c>
      <c r="F20" s="13" t="s">
        <v>9</v>
      </c>
      <c r="G20" s="13" t="n">
        <v>31754</v>
      </c>
      <c r="H20" s="15" t="n">
        <v>0.19</v>
      </c>
      <c r="I20" s="13" t="n">
        <f aca="false">G20+(G20*H20)</f>
        <v>37787.26</v>
      </c>
    </row>
    <row r="21" customFormat="false" ht="22.35" hidden="false" customHeight="true" outlineLevel="0" collapsed="false">
      <c r="D21" s="14" t="s">
        <v>32</v>
      </c>
      <c r="E21" s="13" t="s">
        <v>33</v>
      </c>
      <c r="F21" s="13" t="s">
        <v>9</v>
      </c>
      <c r="G21" s="13" t="n">
        <v>9351</v>
      </c>
      <c r="H21" s="15" t="n">
        <v>0.19</v>
      </c>
      <c r="I21" s="13" t="n">
        <f aca="false">G21+(G21*H21)</f>
        <v>11127.69</v>
      </c>
    </row>
    <row r="22" customFormat="false" ht="22.35" hidden="false" customHeight="true" outlineLevel="0" collapsed="false">
      <c r="D22" s="17" t="s">
        <v>34</v>
      </c>
      <c r="E22" s="13" t="s">
        <v>35</v>
      </c>
      <c r="F22" s="13" t="s">
        <v>9</v>
      </c>
      <c r="G22" s="13" t="n">
        <v>5008</v>
      </c>
      <c r="H22" s="15" t="n">
        <v>0.19</v>
      </c>
      <c r="I22" s="13" t="n">
        <f aca="false">G22+(G22*H22)</f>
        <v>5959.52</v>
      </c>
    </row>
    <row r="23" customFormat="false" ht="22.35" hidden="false" customHeight="true" outlineLevel="0" collapsed="false">
      <c r="D23" s="13" t="s">
        <v>36</v>
      </c>
      <c r="E23" s="13" t="s">
        <v>37</v>
      </c>
      <c r="F23" s="13" t="s">
        <v>9</v>
      </c>
      <c r="G23" s="13" t="n">
        <v>44707</v>
      </c>
      <c r="H23" s="15" t="n">
        <v>0.19</v>
      </c>
      <c r="I23" s="13" t="n">
        <f aca="false">G23+(G23*H23)</f>
        <v>53201.33</v>
      </c>
    </row>
    <row r="24" customFormat="false" ht="22.35" hidden="false" customHeight="true" outlineLevel="0" collapsed="false">
      <c r="D24" s="13" t="s">
        <v>38</v>
      </c>
      <c r="E24" s="13" t="s">
        <v>39</v>
      </c>
      <c r="F24" s="13" t="s">
        <v>9</v>
      </c>
      <c r="G24" s="13" t="n">
        <v>53990</v>
      </c>
      <c r="H24" s="15" t="n">
        <v>0.19</v>
      </c>
      <c r="I24" s="13" t="n">
        <f aca="false">G24+(G24*H24)</f>
        <v>64248.1</v>
      </c>
    </row>
    <row r="25" customFormat="false" ht="22.35" hidden="false" customHeight="true" outlineLevel="0" collapsed="false">
      <c r="D25" s="13" t="s">
        <v>40</v>
      </c>
      <c r="E25" s="13" t="s">
        <v>41</v>
      </c>
      <c r="F25" s="13" t="s">
        <v>9</v>
      </c>
      <c r="G25" s="13" t="n">
        <v>42942</v>
      </c>
      <c r="H25" s="15" t="n">
        <v>0.19</v>
      </c>
      <c r="I25" s="13" t="n">
        <f aca="false">G25+(G25*H25)</f>
        <v>51100.98</v>
      </c>
    </row>
    <row r="26" customFormat="false" ht="22.35" hidden="false" customHeight="true" outlineLevel="0" collapsed="false">
      <c r="D26" s="13" t="s">
        <v>42</v>
      </c>
      <c r="E26" s="13" t="s">
        <v>43</v>
      </c>
      <c r="F26" s="13" t="s">
        <v>9</v>
      </c>
      <c r="G26" s="13" t="n">
        <v>11285</v>
      </c>
      <c r="H26" s="15" t="n">
        <v>0.19</v>
      </c>
      <c r="I26" s="13" t="n">
        <f aca="false">G26+(G26*H26)</f>
        <v>13429.15</v>
      </c>
    </row>
    <row r="27" customFormat="false" ht="22.35" hidden="false" customHeight="true" outlineLevel="0" collapsed="false">
      <c r="D27" s="13" t="s">
        <v>44</v>
      </c>
      <c r="E27" s="13" t="s">
        <v>45</v>
      </c>
      <c r="F27" s="13" t="s">
        <v>9</v>
      </c>
      <c r="G27" s="13" t="n">
        <v>8941</v>
      </c>
      <c r="H27" s="15" t="n">
        <v>0.19</v>
      </c>
      <c r="I27" s="13" t="n">
        <f aca="false">G27+(G27*H27)</f>
        <v>10639.79</v>
      </c>
    </row>
    <row r="28" customFormat="false" ht="22.35" hidden="false" customHeight="true" outlineLevel="0" collapsed="false">
      <c r="D28" s="13" t="s">
        <v>46</v>
      </c>
      <c r="E28" s="13" t="s">
        <v>47</v>
      </c>
      <c r="F28" s="13" t="s">
        <v>9</v>
      </c>
      <c r="G28" s="13" t="n">
        <v>9882</v>
      </c>
      <c r="H28" s="15" t="n">
        <v>0.19</v>
      </c>
      <c r="I28" s="13" t="n">
        <f aca="false">G28+(G28*H28)</f>
        <v>11759.58</v>
      </c>
    </row>
  </sheetData>
  <mergeCells count="2">
    <mergeCell ref="D2:I2"/>
    <mergeCell ref="D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2020-03-26T14:53:17Z</dcterms:created>
  <dc:creator>Gerencia LBA</dc:creator>
  <dc:description/>
  <dc:language>es-CO</dc:language>
  <cp:lastModifiedBy/>
  <cp:lastPrinted>2025-07-12T17:22:19Z</cp:lastPrinted>
  <dcterms:modified xsi:type="dcterms:W3CDTF">2026-01-13T09:10:02Z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