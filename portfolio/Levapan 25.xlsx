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<sst xmlns="http://schemas.openxmlformats.org/spreadsheetml/2006/main" count="56" uniqueCount="52">
  <si>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LÁCTEOS BUENOS AIRES</t>
  </si>
  <si>
    <t xml:space="preserve">CÓDIGO</t>
  </si>
  <si>
    <t xml:space="preserve">PRODUCTO</t>
  </si>
  <si>
    <t xml:space="preserve">UNIDAD</t>
  </si>
  <si>
    <t xml:space="preserve">PRECIO*</t>
  </si>
  <si>
    <t xml:space="preserve">IVA</t>
  </si>
  <si>
    <t xml:space="preserve">P. FINAL</t>
  </si>
  <si>
    <t xml:space="preserve">LV0044</t>
  </si>
  <si>
    <t xml:space="preserve">Polvo Hornear Levapan x 1k</t>
  </si>
  <si>
    <t xml:space="preserve">PQT</t>
  </si>
  <si>
    <t xml:space="preserve">LV6456</t>
  </si>
  <si>
    <t xml:space="preserve">Bocadillo S/J x 6.25 kg</t>
  </si>
  <si>
    <t xml:space="preserve">LV0789</t>
  </si>
  <si>
    <t xml:space="preserve">Pandeyuca Colmaiz x 12 kg</t>
  </si>
  <si>
    <t xml:space="preserve">LV0810</t>
  </si>
  <si>
    <t xml:space="preserve">Buñuelo Colmaiz x 12kg</t>
  </si>
  <si>
    <t xml:space="preserve">LV1172</t>
  </si>
  <si>
    <t xml:space="preserve">Esencia Mantequilla x 3.800 </t>
  </si>
  <si>
    <t xml:space="preserve">LV1192</t>
  </si>
  <si>
    <t xml:space="preserve">Esencia Vainilla Blanca x 3.800</t>
  </si>
  <si>
    <t xml:space="preserve">LV2040</t>
  </si>
  <si>
    <t xml:space="preserve">Azucar Micropulverizada x 1kg</t>
  </si>
  <si>
    <t xml:space="preserve">LV2150</t>
  </si>
  <si>
    <t xml:space="preserve">Coco Rallado Azucarado x 1kg</t>
  </si>
  <si>
    <t xml:space="preserve">LV2391</t>
  </si>
  <si>
    <t xml:space="preserve">Arequipe Reposteria x 5kg</t>
  </si>
  <si>
    <t xml:space="preserve">LV5038</t>
  </si>
  <si>
    <t xml:space="preserve">Gelatina Gel Hada Frambuesa x 1kg</t>
  </si>
  <si>
    <t xml:space="preserve">LV5048</t>
  </si>
  <si>
    <t xml:space="preserve">Gelatina Gel Hada Limon x 1kg</t>
  </si>
  <si>
    <t xml:space="preserve">LV5010</t>
  </si>
  <si>
    <t xml:space="preserve">Gelatina Gel Hada Uva x 1kg</t>
  </si>
  <si>
    <t xml:space="preserve">LV6408</t>
  </si>
  <si>
    <t xml:space="preserve">Mermelada Mora x 5 kg</t>
  </si>
  <si>
    <t xml:space="preserve">LV6428</t>
  </si>
  <si>
    <t xml:space="preserve">Mermelada Piña x 5 kg</t>
  </si>
  <si>
    <t xml:space="preserve">LV0011</t>
  </si>
  <si>
    <t xml:space="preserve">Levadura Fresca x 500g</t>
  </si>
  <si>
    <t xml:space="preserve">LV1202</t>
  </si>
  <si>
    <t xml:space="preserve">Esencia Vainilla Caramellox 3.800</t>
  </si>
  <si>
    <t xml:space="preserve">LV5138</t>
  </si>
  <si>
    <t xml:space="preserve">Gelatina Gel Hada Sin Sabor x 500g</t>
  </si>
  <si>
    <t xml:space="preserve">LV5139</t>
  </si>
  <si>
    <t xml:space="preserve">Gelatina Gel Hada Sin Sabor x 5Kg</t>
  </si>
  <si>
    <t xml:space="preserve">LV5147</t>
  </si>
  <si>
    <t xml:space="preserve">Gelatina Gel Hada Piña x 1Kg</t>
  </si>
  <si>
    <t xml:space="preserve">LV5148</t>
  </si>
  <si>
    <t xml:space="preserve">Gelatina Gel Hada Cereza x 1Kg</t>
  </si>
  <si>
    <t xml:space="preserve">LV5149</t>
  </si>
  <si>
    <t xml:space="preserve">Gelatina Gel Hada Mora x 1Kg</t>
  </si>
  <si>
    <t xml:space="preserve">LV5150</t>
  </si>
  <si>
    <t xml:space="preserve">Gelatina Gel Hada Fresa x 1Kg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</si>
</sst>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240A]#,##0;[RED]\([$$-240A]#,##0\)"/>
    <numFmt numFmtId="166" formatCode="0%"/>
    <numFmt numFmtId="167" formatCode="_-&quot;$ &quot;* #,##0_-;&quot;-$ &quot;* #,##0_-;_-&quot;$ &quot;* \-_-;_-@_-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260640</xdr:colOff>
      <xdr:row>2</xdr:row>
      <xdr:rowOff>34200</xdr:rowOff>
    </xdr:from>
    <xdr:to>
      <xdr:col>5</xdr:col>
      <xdr:colOff>731520</xdr:colOff>
      <xdr:row>6</xdr:row>
      <xdr:rowOff>442440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260640" y="495360"/>
          <a:ext cx="1195920" cy="123048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73800</xdr:colOff>
      <xdr:row>2</xdr:row>
      <xdr:rowOff>145440</xdr:rowOff>
    </xdr:from>
    <xdr:to>
      <xdr:col>9</xdr:col>
      <xdr:colOff>376920</xdr:colOff>
      <xdr:row>6</xdr:row>
      <xdr:rowOff>379800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3297240" y="606600"/>
          <a:ext cx="1393920" cy="1056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L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10" activeCellId="0" sqref="I10"/>
    </sheetView>
  </sheetViews>
  <sheetFormatPr defaultColWidth="11.53515625" defaultRowHeight="13.8" zeroHeight="false" outlineLevelRow="0" outlineLevelCol="0"/>
  <cols>
    <col collapsed="false" customWidth="false" hidden="true" outlineLevel="0" max="3" min="1" style="0" width="11.53"/>
    <col collapsed="false" customWidth="true" hidden="false" outlineLevel="0" max="4" min="4" style="0" width="10.29"/>
    <col collapsed="false" customWidth="true" hidden="true" outlineLevel="0" max="5" min="5" style="0" width="31.04"/>
    <col collapsed="false" customWidth="true" hidden="false" outlineLevel="0" max="6" min="6" style="0" width="35.44"/>
    <col collapsed="false" customWidth="true" hidden="true" outlineLevel="0" max="7" min="7" style="0" width="4.95"/>
    <col collapsed="false" customWidth="true" hidden="false" outlineLevel="0" max="8" min="8" style="0" width="10.4"/>
    <col collapsed="false" customWidth="true" hidden="false" outlineLevel="0" max="9" min="9" style="0" width="5.07"/>
    <col collapsed="false" customWidth="true" hidden="false" outlineLevel="0" max="10" min="10" style="0" width="9.36"/>
    <col collapsed="false" customWidth="false" hidden="true" outlineLevel="0" max="16" min="16" style="0" width="11.53"/>
  </cols>
  <sheetData>
    <row r="1" customFormat="false" ht="14.25" hidden="false" customHeight="false" outlineLevel="0" collapsed="false"/>
    <row r="2" customFormat="false" ht="22.05" hidden="false" customHeight="false" outlineLevel="0" collapsed="false">
      <c r="D2" s="1" t="s">
        <v>0</v>
      </c>
      <c r="E2" s="1"/>
      <c r="F2" s="1"/>
      <c r="G2" s="1"/>
      <c r="H2" s="1"/>
      <c r="I2" s="1"/>
      <c r="J2" s="1"/>
    </row>
    <row r="3" customFormat="false" ht="16.15" hidden="false" customHeight="false" outlineLevel="0" collapsed="false">
      <c r="D3" s="2"/>
      <c r="E3" s="2"/>
      <c r="F3" s="2"/>
      <c r="G3" s="2"/>
      <c r="H3" s="2"/>
      <c r="I3" s="2"/>
      <c r="J3" s="2"/>
    </row>
    <row r="4" customFormat="false" ht="21" hidden="false" customHeight="true" outlineLevel="0" collapsed="false">
      <c r="D4" s="3"/>
      <c r="E4" s="4"/>
      <c r="F4" s="4"/>
      <c r="G4" s="4"/>
      <c r="H4" s="4"/>
      <c r="I4" s="4"/>
      <c r="J4" s="5"/>
    </row>
    <row r="5" customFormat="false" ht="13.8" hidden="false" customHeight="false" outlineLevel="0" collapsed="false">
      <c r="D5" s="3"/>
      <c r="E5" s="4"/>
      <c r="F5" s="4"/>
      <c r="G5" s="4"/>
      <c r="H5" s="4"/>
      <c r="I5" s="4"/>
      <c r="J5" s="5"/>
    </row>
    <row r="6" customFormat="false" ht="13.8" hidden="false" customHeight="false" outlineLevel="0" collapsed="false">
      <c r="D6" s="3"/>
      <c r="E6" s="4"/>
      <c r="F6" s="4"/>
      <c r="G6" s="4"/>
      <c r="H6" s="4"/>
      <c r="I6" s="4"/>
      <c r="J6" s="5"/>
    </row>
    <row r="7" customFormat="false" ht="41" hidden="false" customHeight="true" outlineLevel="0" collapsed="false">
      <c r="D7" s="6"/>
      <c r="E7" s="7"/>
      <c r="F7" s="7"/>
      <c r="G7" s="8"/>
      <c r="H7" s="8"/>
      <c r="I7" s="8"/>
      <c r="J7" s="9"/>
    </row>
    <row r="8" customFormat="false" ht="30" hidden="false" customHeight="true" outlineLevel="0" collapsed="false">
      <c r="D8" s="10" t="s">
        <v>1</v>
      </c>
      <c r="E8" s="10" t="s">
        <v>2</v>
      </c>
      <c r="F8" s="10" t="s">
        <v>2</v>
      </c>
      <c r="G8" s="11" t="s">
        <v>3</v>
      </c>
      <c r="H8" s="10" t="s">
        <v>4</v>
      </c>
      <c r="I8" s="10" t="s">
        <v>5</v>
      </c>
      <c r="J8" s="11" t="s">
        <v>6</v>
      </c>
      <c r="K8" s="12"/>
    </row>
    <row r="9" customFormat="false" ht="13.8" hidden="false" customHeight="false" outlineLevel="0" collapsed="false">
      <c r="D9" s="13" t="s">
        <v>7</v>
      </c>
      <c r="E9" s="13" t="s">
        <v>8</v>
      </c>
      <c r="F9" s="13" t="str">
        <f aca="false">+UPPER(E9)</f>
        <v>POLVO HORNEAR LEVAPAN X 1K</v>
      </c>
      <c r="G9" s="13" t="s">
        <v>9</v>
      </c>
      <c r="H9" s="14" t="n">
        <v>15714</v>
      </c>
      <c r="I9" s="15" t="n">
        <v>0.19</v>
      </c>
      <c r="J9" s="14" t="n">
        <f aca="false">H9+(H9*I9)</f>
        <v>18699.66</v>
      </c>
      <c r="L9" s="16"/>
    </row>
    <row r="10" customFormat="false" ht="13.8" hidden="false" customHeight="false" outlineLevel="0" collapsed="false">
      <c r="D10" s="13" t="s">
        <v>10</v>
      </c>
      <c r="E10" s="13" t="s">
        <v>11</v>
      </c>
      <c r="F10" s="13" t="str">
        <f aca="false">+UPPER(E10)</f>
        <v>BOCADILLO S/J X 6.25 KG</v>
      </c>
      <c r="G10" s="14" t="s">
        <v>9</v>
      </c>
      <c r="H10" s="14" t="n">
        <v>57400</v>
      </c>
      <c r="I10" s="15" t="n">
        <v>0</v>
      </c>
      <c r="J10" s="14" t="n">
        <f aca="false">H10+(H10*I10)</f>
        <v>57400</v>
      </c>
      <c r="L10" s="16"/>
    </row>
    <row r="11" customFormat="false" ht="13.8" hidden="false" customHeight="false" outlineLevel="0" collapsed="false">
      <c r="D11" s="13" t="s">
        <v>12</v>
      </c>
      <c r="E11" s="13" t="s">
        <v>13</v>
      </c>
      <c r="F11" s="13" t="str">
        <f aca="false">+UPPER(E11)</f>
        <v>PANDEYUCA COLMAIZ X 12 KG</v>
      </c>
      <c r="G11" s="14" t="s">
        <v>9</v>
      </c>
      <c r="H11" s="14" t="n">
        <v>142101</v>
      </c>
      <c r="I11" s="15" t="n">
        <v>0.19</v>
      </c>
      <c r="J11" s="14" t="n">
        <f aca="false">H11+(H11*I11)</f>
        <v>169100.19</v>
      </c>
    </row>
    <row r="12" customFormat="false" ht="15" hidden="false" customHeight="true" outlineLevel="0" collapsed="false">
      <c r="D12" s="13" t="s">
        <v>14</v>
      </c>
      <c r="E12" s="13" t="s">
        <v>15</v>
      </c>
      <c r="F12" s="13" t="str">
        <f aca="false">+UPPER(E12)</f>
        <v>BUÑUELO COLMAIZ X 12KG</v>
      </c>
      <c r="G12" s="14" t="s">
        <v>9</v>
      </c>
      <c r="H12" s="14" t="n">
        <v>75294</v>
      </c>
      <c r="I12" s="15" t="n">
        <v>0.19</v>
      </c>
      <c r="J12" s="14" t="n">
        <f aca="false">H12+(H12*I12)</f>
        <v>89599.86</v>
      </c>
    </row>
    <row r="13" customFormat="false" ht="13.8" hidden="false" customHeight="false" outlineLevel="0" collapsed="false">
      <c r="D13" s="13" t="s">
        <v>16</v>
      </c>
      <c r="E13" s="13" t="s">
        <v>17</v>
      </c>
      <c r="F13" s="13" t="str">
        <f aca="false">+UPPER(E13)</f>
        <v>ESENCIA MANTEQUILLA X 3.800 </v>
      </c>
      <c r="G13" s="17"/>
      <c r="H13" s="14" t="n">
        <v>93109</v>
      </c>
      <c r="I13" s="15" t="n">
        <v>0.19</v>
      </c>
      <c r="J13" s="14" t="n">
        <f aca="false">H13+(H13*I13)</f>
        <v>110799.71</v>
      </c>
    </row>
    <row r="14" customFormat="false" ht="13.8" hidden="false" customHeight="false" outlineLevel="0" collapsed="false">
      <c r="D14" s="13" t="s">
        <v>18</v>
      </c>
      <c r="E14" s="13" t="s">
        <v>19</v>
      </c>
      <c r="F14" s="13" t="str">
        <f aca="false">+UPPER(E14)</f>
        <v>ESENCIA VAINILLA BLANCA X 3.800</v>
      </c>
      <c r="G14" s="17"/>
      <c r="H14" s="14" t="n">
        <v>93109</v>
      </c>
      <c r="I14" s="15" t="n">
        <v>0.19</v>
      </c>
      <c r="J14" s="14" t="n">
        <f aca="false">H14+(H14*I14)</f>
        <v>110799.71</v>
      </c>
    </row>
    <row r="15" customFormat="false" ht="13.8" hidden="false" customHeight="false" outlineLevel="0" collapsed="false">
      <c r="D15" s="13" t="s">
        <v>20</v>
      </c>
      <c r="E15" s="13" t="s">
        <v>21</v>
      </c>
      <c r="F15" s="13" t="str">
        <f aca="false">+UPPER(E15)</f>
        <v>AZUCAR MICROPULVERIZADA X 1KG</v>
      </c>
      <c r="G15" s="17"/>
      <c r="H15" s="14" t="n">
        <v>11162</v>
      </c>
      <c r="I15" s="15" t="n">
        <v>0.19</v>
      </c>
      <c r="J15" s="14" t="n">
        <f aca="false">H15+(H15*I15)</f>
        <v>13282.78</v>
      </c>
    </row>
    <row r="16" customFormat="false" ht="13.8" hidden="false" customHeight="false" outlineLevel="0" collapsed="false">
      <c r="D16" s="13" t="s">
        <v>22</v>
      </c>
      <c r="E16" s="13" t="s">
        <v>23</v>
      </c>
      <c r="F16" s="13" t="str">
        <f aca="false">+UPPER(E16)</f>
        <v>COCO RALLADO AZUCARADO X 1KG</v>
      </c>
      <c r="G16" s="17"/>
      <c r="H16" s="14" t="n">
        <v>22344</v>
      </c>
      <c r="I16" s="15" t="n">
        <v>0.19</v>
      </c>
      <c r="J16" s="14" t="n">
        <f aca="false">H16+(H16*I16)</f>
        <v>26589.36</v>
      </c>
    </row>
    <row r="17" customFormat="false" ht="13.8" hidden="false" customHeight="false" outlineLevel="0" collapsed="false">
      <c r="D17" s="13" t="s">
        <v>24</v>
      </c>
      <c r="E17" s="13" t="s">
        <v>25</v>
      </c>
      <c r="F17" s="13" t="str">
        <f aca="false">+UPPER(E17)</f>
        <v>AREQUIPE REPOSTERIA X 5KG</v>
      </c>
      <c r="G17" s="17"/>
      <c r="H17" s="14" t="n">
        <v>85440</v>
      </c>
      <c r="I17" s="15" t="n">
        <v>0</v>
      </c>
      <c r="J17" s="14" t="n">
        <f aca="false">H17+(H17*I17)</f>
        <v>85440</v>
      </c>
    </row>
    <row r="18" customFormat="false" ht="13.8" hidden="false" customHeight="false" outlineLevel="0" collapsed="false">
      <c r="D18" s="13" t="s">
        <v>26</v>
      </c>
      <c r="E18" s="13" t="s">
        <v>27</v>
      </c>
      <c r="F18" s="13" t="str">
        <f aca="false">+UPPER(E18)</f>
        <v>GELATINA GEL HADA FRAMBUESA X 1KG</v>
      </c>
      <c r="G18" s="17"/>
      <c r="H18" s="14" t="n">
        <v>21849</v>
      </c>
      <c r="I18" s="15" t="n">
        <v>0.19</v>
      </c>
      <c r="J18" s="14" t="n">
        <f aca="false">H18+(H18*I18)</f>
        <v>26000.31</v>
      </c>
    </row>
    <row r="19" customFormat="false" ht="13.8" hidden="false" customHeight="false" outlineLevel="0" collapsed="false">
      <c r="D19" s="13" t="s">
        <v>28</v>
      </c>
      <c r="E19" s="13" t="s">
        <v>29</v>
      </c>
      <c r="F19" s="13" t="str">
        <f aca="false">+UPPER(E19)</f>
        <v>GELATINA GEL HADA LIMON X 1KG</v>
      </c>
      <c r="G19" s="17"/>
      <c r="H19" s="14" t="n">
        <v>21849</v>
      </c>
      <c r="I19" s="15" t="n">
        <v>0.19</v>
      </c>
      <c r="J19" s="14" t="n">
        <f aca="false">H19+(H19*I19)</f>
        <v>26000.31</v>
      </c>
    </row>
    <row r="20" customFormat="false" ht="13.8" hidden="false" customHeight="false" outlineLevel="0" collapsed="false">
      <c r="D20" s="13" t="s">
        <v>30</v>
      </c>
      <c r="E20" s="13" t="s">
        <v>31</v>
      </c>
      <c r="F20" s="13" t="str">
        <f aca="false">+UPPER(E20)</f>
        <v>GELATINA GEL HADA UVA X 1KG</v>
      </c>
      <c r="G20" s="17"/>
      <c r="H20" s="14" t="n">
        <v>21849</v>
      </c>
      <c r="I20" s="15" t="n">
        <v>0.19</v>
      </c>
      <c r="J20" s="14" t="n">
        <f aca="false">H20+(H20*I20)</f>
        <v>26000.31</v>
      </c>
    </row>
    <row r="21" customFormat="false" ht="13.8" hidden="false" customHeight="false" outlineLevel="0" collapsed="false">
      <c r="D21" s="13" t="s">
        <v>32</v>
      </c>
      <c r="E21" s="13" t="s">
        <v>33</v>
      </c>
      <c r="F21" s="13" t="str">
        <f aca="false">+UPPER(E21)</f>
        <v>MERMELADA MORA X 5 KG</v>
      </c>
      <c r="G21" s="17"/>
      <c r="H21" s="14" t="n">
        <v>62500</v>
      </c>
      <c r="I21" s="15" t="n">
        <v>0.19</v>
      </c>
      <c r="J21" s="14" t="n">
        <f aca="false">H21+(H21*I21)</f>
        <v>74375</v>
      </c>
    </row>
    <row r="22" customFormat="false" ht="13.8" hidden="false" customHeight="false" outlineLevel="0" collapsed="false">
      <c r="D22" s="13" t="s">
        <v>34</v>
      </c>
      <c r="E22" s="13" t="s">
        <v>35</v>
      </c>
      <c r="F22" s="13" t="str">
        <f aca="false">+UPPER(E22)</f>
        <v>MERMELADA PIÑA X 5 KG</v>
      </c>
      <c r="G22" s="17"/>
      <c r="H22" s="14" t="n">
        <v>64214</v>
      </c>
      <c r="I22" s="15" t="n">
        <v>0.19</v>
      </c>
      <c r="J22" s="14" t="n">
        <f aca="false">H22+(H22*I22)</f>
        <v>76414.66</v>
      </c>
    </row>
    <row r="23" customFormat="false" ht="13.8" hidden="false" customHeight="false" outlineLevel="0" collapsed="false">
      <c r="D23" s="13" t="s">
        <v>36</v>
      </c>
      <c r="E23" s="13" t="s">
        <v>37</v>
      </c>
      <c r="F23" s="13" t="str">
        <f aca="false">+UPPER(E23)</f>
        <v>LEVADURA FRESCA X 500G</v>
      </c>
      <c r="G23" s="17"/>
      <c r="H23" s="14" t="n">
        <v>5294</v>
      </c>
      <c r="I23" s="15" t="n">
        <v>0.19</v>
      </c>
      <c r="J23" s="14" t="n">
        <f aca="false">H23+(H23*I23)</f>
        <v>6299.86</v>
      </c>
    </row>
    <row r="24" customFormat="false" ht="13.8" hidden="false" customHeight="false" outlineLevel="0" collapsed="false">
      <c r="D24" s="13" t="s">
        <v>38</v>
      </c>
      <c r="E24" s="13" t="s">
        <v>39</v>
      </c>
      <c r="F24" s="13" t="str">
        <f aca="false">+UPPER(E24)</f>
        <v>ESENCIA VAINILLA CARAMELLOX 3.800</v>
      </c>
      <c r="G24" s="17"/>
      <c r="H24" s="14" t="n">
        <v>93109</v>
      </c>
      <c r="I24" s="15" t="n">
        <v>0.19</v>
      </c>
      <c r="J24" s="14" t="n">
        <f aca="false">H24+(H24*I24)</f>
        <v>110799.71</v>
      </c>
    </row>
    <row r="25" customFormat="false" ht="13.8" hidden="false" customHeight="false" outlineLevel="0" collapsed="false">
      <c r="D25" s="13" t="s">
        <v>40</v>
      </c>
      <c r="E25" s="13" t="s">
        <v>41</v>
      </c>
      <c r="F25" s="13" t="str">
        <f aca="false">+UPPER(E25)</f>
        <v>GELATINA GEL HADA SIN SABOR X 500G</v>
      </c>
      <c r="G25" s="17"/>
      <c r="H25" s="14" t="n">
        <v>32425</v>
      </c>
      <c r="I25" s="15" t="n">
        <v>0.19</v>
      </c>
      <c r="J25" s="14" t="n">
        <f aca="false">H25+(H25*I25)</f>
        <v>38585.75</v>
      </c>
    </row>
    <row r="26" customFormat="false" ht="13.8" hidden="false" customHeight="false" outlineLevel="0" collapsed="false">
      <c r="D26" s="13" t="s">
        <v>42</v>
      </c>
      <c r="E26" s="13" t="s">
        <v>43</v>
      </c>
      <c r="F26" s="13" t="str">
        <f aca="false">+UPPER(E26)</f>
        <v>GELATINA GEL HADA SIN SABOR X 5KG</v>
      </c>
      <c r="G26" s="17"/>
      <c r="H26" s="14" t="n">
        <v>304889</v>
      </c>
      <c r="I26" s="15" t="n">
        <v>0.19</v>
      </c>
      <c r="J26" s="14" t="n">
        <f aca="false">H26+(H26*I26)</f>
        <v>362817.91</v>
      </c>
    </row>
    <row r="27" customFormat="false" ht="13.8" hidden="false" customHeight="false" outlineLevel="0" collapsed="false">
      <c r="D27" s="13" t="s">
        <v>44</v>
      </c>
      <c r="E27" s="13" t="s">
        <v>45</v>
      </c>
      <c r="F27" s="13" t="str">
        <f aca="false">+UPPER(E27)</f>
        <v>GELATINA GEL HADA PIÑA X 1KG</v>
      </c>
      <c r="G27" s="17"/>
      <c r="H27" s="14" t="n">
        <v>21849</v>
      </c>
      <c r="I27" s="15" t="n">
        <v>0.19</v>
      </c>
      <c r="J27" s="14" t="n">
        <f aca="false">H27+(H27*I27)</f>
        <v>26000.31</v>
      </c>
    </row>
    <row r="28" customFormat="false" ht="13.8" hidden="false" customHeight="false" outlineLevel="0" collapsed="false">
      <c r="D28" s="13" t="s">
        <v>46</v>
      </c>
      <c r="E28" s="13" t="s">
        <v>47</v>
      </c>
      <c r="F28" s="13" t="str">
        <f aca="false">+UPPER(E28)</f>
        <v>GELATINA GEL HADA CEREZA X 1KG</v>
      </c>
      <c r="G28" s="17"/>
      <c r="H28" s="14" t="n">
        <v>21849</v>
      </c>
      <c r="I28" s="15" t="n">
        <v>0.19</v>
      </c>
      <c r="J28" s="14" t="n">
        <f aca="false">H28+(H28*I28)</f>
        <v>26000.31</v>
      </c>
    </row>
    <row r="29" customFormat="false" ht="13.8" hidden="false" customHeight="false" outlineLevel="0" collapsed="false">
      <c r="D29" s="13" t="s">
        <v>48</v>
      </c>
      <c r="E29" s="13" t="s">
        <v>49</v>
      </c>
      <c r="F29" s="13" t="str">
        <f aca="false">+UPPER(E29)</f>
        <v>GELATINA GEL HADA MORA X 1KG</v>
      </c>
      <c r="G29" s="17"/>
      <c r="H29" s="14" t="n">
        <v>21849</v>
      </c>
      <c r="I29" s="15" t="n">
        <v>0.19</v>
      </c>
      <c r="J29" s="14" t="n">
        <f aca="false">H29+(H29*I29)</f>
        <v>26000.31</v>
      </c>
    </row>
    <row r="30" customFormat="false" ht="13.8" hidden="false" customHeight="false" outlineLevel="0" collapsed="false">
      <c r="D30" s="13" t="s">
        <v>50</v>
      </c>
      <c r="E30" s="13" t="s">
        <v>51</v>
      </c>
      <c r="F30" s="13" t="str">
        <f aca="false">+UPPER(E30)</f>
        <v>GELATINA GEL HADA FRESA X 1KG</v>
      </c>
      <c r="G30" s="17"/>
      <c r="H30" s="14" t="n">
        <v>21849</v>
      </c>
      <c r="I30" s="15" t="n">
        <v>0.19</v>
      </c>
      <c r="J30" s="14" t="n">
        <f aca="false">H30+(H30*I30)</f>
        <v>26000.31</v>
      </c>
    </row>
  </sheetData>
  <mergeCells count="2">
    <mergeCell ref="D2:J2"/>
    <mergeCell ref="D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2020-03-26T14:53:17Z</dcterms:created>
  <dc:creator>Gerencia LBA</dc:creator>
  <dc:description/>
  <dc:language>es-CO</dc:language>
  <cp:lastModifiedBy/>
  <cp:lastPrinted>2024-12-07T17:25:43Z</cp:lastPrinted>
  <dcterms:modified xsi:type="dcterms:W3CDTF">2025-12-12T12:19:50Z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