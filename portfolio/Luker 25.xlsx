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UKER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<sst xmlns="http://schemas.openxmlformats.org/spreadsheetml/2006/main" count="146" uniqueCount="103">
  <si>
    <t xml:space="preserve">LÁCTEOS BUENOS AIRES</t>
  </si>
  <si>
    <t xml:space="preserve">LINEA CASA LUKER</t>
  </si>
  <si>
    <t xml:space="preserve">CÓDIGO</t>
  </si>
  <si>
    <t xml:space="preserve">PRODUCTO</t>
  </si>
  <si>
    <t xml:space="preserve">UDM</t>
  </si>
  <si>
    <t xml:space="preserve">PRECIO*</t>
  </si>
  <si>
    <t xml:space="preserve">IVA</t>
  </si>
  <si>
    <t xml:space="preserve">P. FINAL</t>
  </si>
  <si>
    <t xml:space="preserve">CL1060</t>
  </si>
  <si>
    <t xml:space="preserve">Luker Fácil x 1000 G                    </t>
  </si>
  <si>
    <t xml:space="preserve">UND</t>
  </si>
  <si>
    <t xml:space="preserve">CL0303</t>
  </si>
  <si>
    <t xml:space="preserve">Cobertura Chocolate Negro x 1 K         </t>
  </si>
  <si>
    <t xml:space="preserve">CL0334</t>
  </si>
  <si>
    <t xml:space="preserve">Cobertura Chocolate Leche x 1 K         </t>
  </si>
  <si>
    <t xml:space="preserve">CL1647</t>
  </si>
  <si>
    <t xml:space="preserve">LUKAFE MOLIDO X2500 G</t>
  </si>
  <si>
    <t xml:space="preserve">BOLSA</t>
  </si>
  <si>
    <t xml:space="preserve">CL0411</t>
  </si>
  <si>
    <t xml:space="preserve">Cocoa en Polvo Natural 16% x 1 K        </t>
  </si>
  <si>
    <t xml:space="preserve">CL0359</t>
  </si>
  <si>
    <t xml:space="preserve">Cobertura Chocolate Blanco x 1 K        </t>
  </si>
  <si>
    <t xml:space="preserve">CL8220</t>
  </si>
  <si>
    <t xml:space="preserve">Cobertura Selva 46% x 1 K               </t>
  </si>
  <si>
    <t xml:space="preserve">CL8213</t>
  </si>
  <si>
    <t xml:space="preserve">Cobertura Misterio 58% x 1 K            </t>
  </si>
  <si>
    <t xml:space="preserve">CL1772</t>
  </si>
  <si>
    <t xml:space="preserve">Cobertura Palenque 70% x 1K</t>
  </si>
  <si>
    <t xml:space="preserve">CL8244</t>
  </si>
  <si>
    <t xml:space="preserve">Cobertura Claro de Luna 37% x 1 K       </t>
  </si>
  <si>
    <t xml:space="preserve">CL1774</t>
  </si>
  <si>
    <t xml:space="preserve">Cobertura Cumbre 58% ( Sugarfree ) x 1 K</t>
  </si>
  <si>
    <t xml:space="preserve">CL1780</t>
  </si>
  <si>
    <t xml:space="preserve">Cobertura Nevado (Blanco) x 1 K     </t>
  </si>
  <si>
    <t xml:space="preserve">CL0304</t>
  </si>
  <si>
    <t xml:space="preserve">Cobertura Chocolate Negro x 2.5 K       </t>
  </si>
  <si>
    <t xml:space="preserve">CL0335</t>
  </si>
  <si>
    <t xml:space="preserve">Cobertura Chocolate Leche x 2.5 K       </t>
  </si>
  <si>
    <t xml:space="preserve">CL0275</t>
  </si>
  <si>
    <t xml:space="preserve">Cobertura Selva 46% x 2.5 K             </t>
  </si>
  <si>
    <t xml:space="preserve">CL0360</t>
  </si>
  <si>
    <t xml:space="preserve">Cobertura Chocolate Blanco x 2.5 K      </t>
  </si>
  <si>
    <t xml:space="preserve">CL0272</t>
  </si>
  <si>
    <t xml:space="preserve">Cobertura Misterio 58% x 2.5 K          </t>
  </si>
  <si>
    <t xml:space="preserve">CL0280</t>
  </si>
  <si>
    <t xml:space="preserve">Cobertura Macondo 60% x 2.5 K           </t>
  </si>
  <si>
    <t xml:space="preserve">CL0290</t>
  </si>
  <si>
    <t xml:space="preserve">Cobertura Palenque 70% x 2.5K</t>
  </si>
  <si>
    <t xml:space="preserve">CL0319</t>
  </si>
  <si>
    <t xml:space="preserve">Cobertura Claro de Luna 37% x 2.5 K     </t>
  </si>
  <si>
    <t xml:space="preserve">CL0346</t>
  </si>
  <si>
    <t xml:space="preserve">Cobertura Nevado (Blanco) x 2.5 K       </t>
  </si>
  <si>
    <t xml:space="preserve">CL0249</t>
  </si>
  <si>
    <t xml:space="preserve">Cobertura Dark Tumaco 65% x 2.5 K       </t>
  </si>
  <si>
    <t xml:space="preserve">CL0252</t>
  </si>
  <si>
    <t xml:space="preserve">Cobertura Ex. Tumaco 85% x 2.5 K         </t>
  </si>
  <si>
    <t xml:space="preserve">CL0378</t>
  </si>
  <si>
    <t xml:space="preserve">Cobertura Chocolate Negro x 20 K        </t>
  </si>
  <si>
    <t xml:space="preserve">CL0376</t>
  </si>
  <si>
    <t xml:space="preserve">Cobertura Chocolate Leche x 20 K        </t>
  </si>
  <si>
    <t xml:space="preserve">CL0620</t>
  </si>
  <si>
    <t xml:space="preserve">Cobertura Selva 46% x 20 K</t>
  </si>
  <si>
    <t xml:space="preserve">CL0369</t>
  </si>
  <si>
    <t xml:space="preserve">Chips de Horneo x 20 K                  </t>
  </si>
  <si>
    <t xml:space="preserve">CL0403</t>
  </si>
  <si>
    <t xml:space="preserve">Cocoa Natural 12% x 25 K                </t>
  </si>
  <si>
    <t xml:space="preserve">CL0374</t>
  </si>
  <si>
    <t xml:space="preserve">Cobertura Chocolate Blanco x 20 K       </t>
  </si>
  <si>
    <t xml:space="preserve">CL0557</t>
  </si>
  <si>
    <t xml:space="preserve">Cocoa Paste x 20 K</t>
  </si>
  <si>
    <t xml:space="preserve">CL0470</t>
  </si>
  <si>
    <t xml:space="preserve">Cobertura Cumbre 58 % ( Sugarfree ) x 20 K</t>
  </si>
  <si>
    <t xml:space="preserve">CL0542</t>
  </si>
  <si>
    <t xml:space="preserve">Manteca de Cacao x 25 K</t>
  </si>
  <si>
    <t xml:space="preserve">CL2520</t>
  </si>
  <si>
    <t xml:space="preserve">Cobertura Chocolate Leche x 500gr</t>
  </si>
  <si>
    <t xml:space="preserve">CL1137</t>
  </si>
  <si>
    <t xml:space="preserve">Cocoa Butter x 1k</t>
  </si>
  <si>
    <t xml:space="preserve">CL1797</t>
  </si>
  <si>
    <t xml:space="preserve">Cobertura Chocolate Negro x 500gr</t>
  </si>
  <si>
    <t xml:space="preserve">CL9810</t>
  </si>
  <si>
    <t xml:space="preserve">Cobertura Chocolate Blanco x 500gr</t>
  </si>
  <si>
    <t xml:space="preserve">CL5022</t>
  </si>
  <si>
    <t xml:space="preserve">Dark Chocolate Sticks 46% 8mm x 1.5k</t>
  </si>
  <si>
    <t xml:space="preserve">CL2486</t>
  </si>
  <si>
    <t xml:space="preserve">Cobertura Sensacion Caramel 33% x 2.5 K</t>
  </si>
  <si>
    <t xml:space="preserve">CL2124</t>
  </si>
  <si>
    <t xml:space="preserve">Cobertura Mulata 37% x 2,5 k</t>
  </si>
  <si>
    <t xml:space="preserve">UND </t>
  </si>
  <si>
    <t xml:space="preserve">CL1042</t>
  </si>
  <si>
    <t xml:space="preserve">Cobertura Mulata 37% x 1 k</t>
  </si>
  <si>
    <t xml:space="preserve">CL2634</t>
  </si>
  <si>
    <t xml:space="preserve">Cobertura Balance Negro ES 70% X 1 k</t>
  </si>
  <si>
    <t xml:space="preserve">CL1576</t>
  </si>
  <si>
    <t xml:space="preserve">Nutella  X750G</t>
  </si>
  <si>
    <t xml:space="preserve">CL3459</t>
  </si>
  <si>
    <t xml:space="preserve">COBERT SAB CHOCOT BLANC x 1KG BLOQUE </t>
  </si>
  <si>
    <t xml:space="preserve">CL3541</t>
  </si>
  <si>
    <t xml:space="preserve">COBERT SAB CHOCOT NEGRA x 1KG BLOQUE </t>
  </si>
  <si>
    <t xml:space="preserve">CL4081</t>
  </si>
  <si>
    <t xml:space="preserve">COBERT SAB CHOCOT NEGRA x 2,5KG BLOQUE </t>
  </si>
  <si>
    <t xml:space="preserve">CL1126</t>
  </si>
  <si>
    <t xml:space="preserve">COBERT SAB CHOCOT BLANC x 2,5KG BLOQ 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</si>
</sst>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&quot;$ &quot;#,##0"/>
    <numFmt numFmtId="167" formatCode="0\ %"/>
    <numFmt numFmtId="168" formatCode="&quot;$ &quot;#,##0;[RED]&quot;-$ &quot;#,##0"/>
    <numFmt numFmtId="169" formatCode="0%"/>
    <numFmt numFmtId="170" formatCode="_-&quot;$ &quot;* #,##0_-;&quot;-$ &quot;* #,##0_-;_-&quot;$ &quot;* \-_-;_-@_-"/>
    <numFmt numFmtId="171" formatCode="0.00%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  <charset val="1"/>
    </font>
    <font>
      <b val="true"/>
      <sz val="13"/>
      <color rgb="FF000000"/>
      <name val="Calibri"/>
      <family val="2"/>
      <charset val="1"/>
    </font>
    <font>
      <b val="true"/>
      <sz val="15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sz val="11"/>
      <name val="Calibri"/>
      <family val="2"/>
      <charset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double"/>
      <right style="double"/>
      <top style="double"/>
      <bottom style="double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70" fontId="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2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9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urrency [0] 1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55440</xdr:colOff>
      <xdr:row>1</xdr:row>
      <xdr:rowOff>20880</xdr:rowOff>
    </xdr:from>
    <xdr:to>
      <xdr:col>1</xdr:col>
      <xdr:colOff>296640</xdr:colOff>
      <xdr:row>5</xdr:row>
      <xdr:rowOff>82080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55440" y="316080"/>
          <a:ext cx="969480" cy="889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431280</xdr:colOff>
      <xdr:row>1</xdr:row>
      <xdr:rowOff>133200</xdr:rowOff>
    </xdr:from>
    <xdr:to>
      <xdr:col>5</xdr:col>
      <xdr:colOff>201240</xdr:colOff>
      <xdr:row>5</xdr:row>
      <xdr:rowOff>57240</xdr:rowOff>
    </xdr:to>
    <xdr:pic>
      <xdr:nvPicPr>
        <xdr:cNvPr id="1" name="Imagen 2" descr=""/>
        <xdr:cNvPicPr/>
      </xdr:nvPicPr>
      <xdr:blipFill>
        <a:blip r:embed="rId2"/>
        <a:stretch/>
      </xdr:blipFill>
      <xdr:spPr>
        <a:xfrm>
          <a:off x="4636080" y="428400"/>
          <a:ext cx="1101240" cy="7527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14" activeCellId="0" sqref="B14"/>
    </sheetView>
  </sheetViews>
  <sheetFormatPr defaultColWidth="10.88671875" defaultRowHeight="14.25" zeroHeight="false" outlineLevelRow="1" outlineLevelCol="0"/>
  <cols>
    <col collapsed="false" customWidth="true" hidden="false" outlineLevel="0" max="1" min="1" style="1" width="10.33"/>
    <col collapsed="false" customWidth="true" hidden="false" outlineLevel="0" max="2" min="2" style="1" width="40.44"/>
    <col collapsed="false" customWidth="true" hidden="false" outlineLevel="0" max="3" min="3" style="1" width="8.88"/>
    <col collapsed="false" customWidth="false" hidden="false" outlineLevel="0" max="4" min="4" style="1" width="10.88"/>
    <col collapsed="false" customWidth="true" hidden="false" outlineLevel="0" max="5" min="5" style="1" width="8"/>
    <col collapsed="false" customWidth="false" hidden="false" outlineLevel="0" max="6" min="6" style="1" width="10.88"/>
    <col collapsed="false" customWidth="true" hidden="false" outlineLevel="0" max="9" min="7" style="2" width="20.44"/>
    <col collapsed="false" customWidth="true" hidden="false" outlineLevel="0" max="10" min="10" style="2" width="35.56"/>
  </cols>
  <sheetData>
    <row r="1" customFormat="false" ht="23.25" hidden="false" customHeight="false" outlineLevel="0" collapsed="false">
      <c r="A1" s="3" t="s">
        <v>0</v>
      </c>
      <c r="B1" s="3"/>
      <c r="C1" s="3"/>
      <c r="D1" s="3"/>
      <c r="E1" s="3"/>
      <c r="F1" s="3"/>
    </row>
    <row r="2" customFormat="false" ht="17.25" hidden="false" customHeight="false" outlineLevel="0" collapsed="false">
      <c r="A2" s="4"/>
      <c r="B2" s="4"/>
      <c r="C2" s="4"/>
      <c r="D2" s="4"/>
      <c r="E2" s="4"/>
      <c r="F2" s="4"/>
    </row>
    <row r="3" customFormat="false" ht="14.25" hidden="false" customHeight="false" outlineLevel="0" collapsed="false">
      <c r="A3" s="5"/>
      <c r="B3" s="6"/>
      <c r="C3" s="6"/>
      <c r="D3" s="6"/>
      <c r="E3" s="7"/>
      <c r="F3" s="7"/>
    </row>
    <row r="4" customFormat="false" ht="19.5" hidden="false" customHeight="false" outlineLevel="0" collapsed="false">
      <c r="A4" s="8" t="s">
        <v>1</v>
      </c>
      <c r="B4" s="8"/>
      <c r="C4" s="8"/>
      <c r="D4" s="8"/>
      <c r="E4" s="8"/>
      <c r="F4" s="8"/>
    </row>
    <row r="5" customFormat="false" ht="14.25" hidden="false" customHeight="false" outlineLevel="0" collapsed="false">
      <c r="A5" s="5"/>
      <c r="B5" s="6"/>
      <c r="C5" s="6"/>
      <c r="D5" s="6"/>
      <c r="E5" s="7"/>
      <c r="F5" s="7"/>
    </row>
    <row r="6" customFormat="false" ht="14.25" hidden="false" customHeight="false" outlineLevel="0" collapsed="false">
      <c r="A6" s="5"/>
      <c r="B6" s="6"/>
      <c r="C6" s="6"/>
      <c r="D6" s="6"/>
      <c r="E6" s="7"/>
      <c r="F6" s="7"/>
    </row>
    <row r="7" customFormat="false" ht="29.25" hidden="false" customHeight="true" outlineLevel="0" collapsed="false">
      <c r="A7" s="9" t="s">
        <v>2</v>
      </c>
      <c r="B7" s="9" t="s">
        <v>3</v>
      </c>
      <c r="C7" s="10" t="s">
        <v>4</v>
      </c>
      <c r="D7" s="9" t="s">
        <v>5</v>
      </c>
      <c r="E7" s="9" t="s">
        <v>6</v>
      </c>
      <c r="F7" s="10" t="s">
        <v>7</v>
      </c>
    </row>
    <row r="8" customFormat="false" ht="14.25" hidden="false" customHeight="false" outlineLevel="0" collapsed="false">
      <c r="A8" s="11" t="s">
        <v>8</v>
      </c>
      <c r="B8" s="12" t="s">
        <v>9</v>
      </c>
      <c r="C8" s="12" t="s">
        <v>10</v>
      </c>
      <c r="D8" s="13" t="n">
        <v>35875</v>
      </c>
      <c r="E8" s="14" t="n">
        <v>0.05</v>
      </c>
      <c r="F8" s="13" t="n">
        <f aca="false">D8+(D8*E8)</f>
        <v>37668.75</v>
      </c>
      <c r="G8" s="15"/>
      <c r="H8" s="16"/>
      <c r="I8" s="15"/>
    </row>
    <row r="9" customFormat="false" ht="14.25" hidden="false" customHeight="false" outlineLevel="0" collapsed="false">
      <c r="A9" s="11" t="s">
        <v>11</v>
      </c>
      <c r="B9" s="12" t="s">
        <v>12</v>
      </c>
      <c r="C9" s="12" t="s">
        <v>10</v>
      </c>
      <c r="D9" s="13" t="n">
        <v>32211</v>
      </c>
      <c r="E9" s="14" t="n">
        <v>0.19</v>
      </c>
      <c r="F9" s="13" t="n">
        <f aca="false">D9+(D9*E9)</f>
        <v>38331.09</v>
      </c>
      <c r="G9" s="15"/>
      <c r="H9" s="16"/>
      <c r="I9" s="15"/>
    </row>
    <row r="10" customFormat="false" ht="15" hidden="false" customHeight="false" outlineLevel="1" collapsed="false">
      <c r="A10" s="11" t="s">
        <v>13</v>
      </c>
      <c r="B10" s="17" t="s">
        <v>14</v>
      </c>
      <c r="C10" s="17" t="s">
        <v>10</v>
      </c>
      <c r="D10" s="13" t="n">
        <v>33294</v>
      </c>
      <c r="E10" s="14" t="n">
        <v>0.19</v>
      </c>
      <c r="F10" s="13" t="n">
        <f aca="false">D10+(D10*E10)</f>
        <v>39619.86</v>
      </c>
      <c r="G10" s="15"/>
      <c r="H10" s="16"/>
      <c r="I10" s="15"/>
    </row>
    <row r="11" customFormat="false" ht="15" hidden="false" customHeight="false" outlineLevel="0" collapsed="false">
      <c r="A11" s="12" t="s">
        <v>15</v>
      </c>
      <c r="B11" s="12" t="s">
        <v>16</v>
      </c>
      <c r="C11" s="12" t="s">
        <v>17</v>
      </c>
      <c r="D11" s="13" t="n">
        <v>95061</v>
      </c>
      <c r="E11" s="14" t="n">
        <v>0.05</v>
      </c>
      <c r="F11" s="13" t="n">
        <f aca="false">D11+(D11*E11)</f>
        <v>99814.05</v>
      </c>
      <c r="G11" s="15"/>
    </row>
    <row r="12" customFormat="false" ht="15" hidden="false" customHeight="false" outlineLevel="0" collapsed="false">
      <c r="A12" s="11" t="s">
        <v>18</v>
      </c>
      <c r="B12" s="12" t="s">
        <v>19</v>
      </c>
      <c r="C12" s="12" t="s">
        <v>10</v>
      </c>
      <c r="D12" s="13" t="n">
        <v>53858</v>
      </c>
      <c r="E12" s="14" t="n">
        <v>0.19</v>
      </c>
      <c r="F12" s="13" t="n">
        <f aca="false">D12+(D12*E12)</f>
        <v>64091.02</v>
      </c>
      <c r="G12" s="15"/>
      <c r="H12" s="16"/>
      <c r="I12" s="15"/>
    </row>
    <row r="13" customFormat="false" ht="14.25" hidden="false" customHeight="false" outlineLevel="0" collapsed="false">
      <c r="A13" s="12" t="s">
        <v>20</v>
      </c>
      <c r="B13" s="12" t="s">
        <v>21</v>
      </c>
      <c r="C13" s="12" t="s">
        <v>10</v>
      </c>
      <c r="D13" s="13" t="n">
        <v>38110</v>
      </c>
      <c r="E13" s="14" t="n">
        <v>0.19</v>
      </c>
      <c r="F13" s="13" t="n">
        <f aca="false">D13+(D13*E13)</f>
        <v>45350.9</v>
      </c>
      <c r="G13" s="15"/>
      <c r="H13" s="16"/>
      <c r="I13" s="15"/>
    </row>
    <row r="14" customFormat="false" ht="14.25" hidden="false" customHeight="false" outlineLevel="0" collapsed="false">
      <c r="A14" s="11" t="s">
        <v>22</v>
      </c>
      <c r="B14" s="12" t="s">
        <v>23</v>
      </c>
      <c r="C14" s="12" t="s">
        <v>10</v>
      </c>
      <c r="D14" s="13" t="n">
        <v>54793</v>
      </c>
      <c r="E14" s="14" t="n">
        <v>0.19</v>
      </c>
      <c r="F14" s="13" t="n">
        <f aca="false">D14+(D14*E14)</f>
        <v>65203.67</v>
      </c>
      <c r="G14" s="15"/>
      <c r="H14" s="16"/>
      <c r="I14" s="15"/>
    </row>
    <row r="15" customFormat="false" ht="14.25" hidden="false" customHeight="false" outlineLevel="0" collapsed="false">
      <c r="A15" s="11" t="s">
        <v>24</v>
      </c>
      <c r="B15" s="12" t="s">
        <v>25</v>
      </c>
      <c r="C15" s="12" t="s">
        <v>10</v>
      </c>
      <c r="D15" s="13" t="n">
        <v>33234</v>
      </c>
      <c r="E15" s="14" t="n">
        <v>0.19</v>
      </c>
      <c r="F15" s="13" t="n">
        <f aca="false">D15+(D15*E15)</f>
        <v>39548.46</v>
      </c>
      <c r="G15" s="15"/>
      <c r="H15" s="16"/>
      <c r="I15" s="15"/>
    </row>
    <row r="16" customFormat="false" ht="14.25" hidden="false" customHeight="false" outlineLevel="0" collapsed="false">
      <c r="A16" s="11" t="s">
        <v>26</v>
      </c>
      <c r="B16" s="12" t="s">
        <v>27</v>
      </c>
      <c r="C16" s="12" t="s">
        <v>10</v>
      </c>
      <c r="D16" s="13" t="n">
        <v>63715</v>
      </c>
      <c r="E16" s="14" t="n">
        <v>0.19</v>
      </c>
      <c r="F16" s="13" t="n">
        <f aca="false">D16+(D16*E16)</f>
        <v>75820.85</v>
      </c>
      <c r="G16" s="15"/>
      <c r="H16" s="16"/>
      <c r="I16" s="15"/>
    </row>
    <row r="17" customFormat="false" ht="14.25" hidden="false" customHeight="false" outlineLevel="0" collapsed="false">
      <c r="A17" s="11" t="s">
        <v>28</v>
      </c>
      <c r="B17" s="12" t="s">
        <v>29</v>
      </c>
      <c r="C17" s="12" t="s">
        <v>10</v>
      </c>
      <c r="D17" s="13" t="n">
        <v>34020</v>
      </c>
      <c r="E17" s="14" t="n">
        <v>0.19</v>
      </c>
      <c r="F17" s="13" t="n">
        <f aca="false">D17+(D17*E17)</f>
        <v>40483.8</v>
      </c>
      <c r="G17" s="15"/>
      <c r="H17" s="16"/>
      <c r="I17" s="15"/>
    </row>
    <row r="18" customFormat="false" ht="14.25" hidden="false" customHeight="false" outlineLevel="0" collapsed="false">
      <c r="A18" s="11" t="s">
        <v>30</v>
      </c>
      <c r="B18" s="12" t="s">
        <v>31</v>
      </c>
      <c r="C18" s="12" t="s">
        <v>10</v>
      </c>
      <c r="D18" s="13" t="n">
        <v>64383</v>
      </c>
      <c r="E18" s="14" t="n">
        <v>0.19</v>
      </c>
      <c r="F18" s="13" t="n">
        <f aca="false">D18+(D18*E18)</f>
        <v>76615.77</v>
      </c>
      <c r="G18" s="15"/>
      <c r="H18" s="16"/>
      <c r="I18" s="15"/>
      <c r="J18" s="18"/>
    </row>
    <row r="19" customFormat="false" ht="14.25" hidden="false" customHeight="false" outlineLevel="0" collapsed="false">
      <c r="A19" s="11" t="s">
        <v>32</v>
      </c>
      <c r="B19" s="12" t="s">
        <v>33</v>
      </c>
      <c r="C19" s="12" t="s">
        <v>10</v>
      </c>
      <c r="D19" s="13" t="n">
        <v>82024</v>
      </c>
      <c r="E19" s="14" t="n">
        <v>0.19</v>
      </c>
      <c r="F19" s="13" t="n">
        <f aca="false">D19+(D19*E19)</f>
        <v>97608.56</v>
      </c>
      <c r="G19" s="15"/>
      <c r="H19" s="16"/>
      <c r="I19" s="15"/>
    </row>
    <row r="20" customFormat="false" ht="14.25" hidden="false" customHeight="false" outlineLevel="0" collapsed="false">
      <c r="A20" s="12" t="s">
        <v>34</v>
      </c>
      <c r="B20" s="12" t="s">
        <v>35</v>
      </c>
      <c r="C20" s="12" t="s">
        <v>10</v>
      </c>
      <c r="D20" s="13" t="n">
        <v>71743</v>
      </c>
      <c r="E20" s="14" t="n">
        <v>0.19</v>
      </c>
      <c r="F20" s="13" t="n">
        <f aca="false">D20+(D20*E20)</f>
        <v>85374.17</v>
      </c>
      <c r="G20" s="15"/>
      <c r="H20" s="16"/>
      <c r="I20" s="15"/>
    </row>
    <row r="21" customFormat="false" ht="14.25" hidden="false" customHeight="false" outlineLevel="0" collapsed="false">
      <c r="A21" s="11" t="s">
        <v>36</v>
      </c>
      <c r="B21" s="17" t="s">
        <v>37</v>
      </c>
      <c r="C21" s="17" t="s">
        <v>10</v>
      </c>
      <c r="D21" s="13" t="n">
        <v>78490</v>
      </c>
      <c r="E21" s="14" t="n">
        <v>0.19</v>
      </c>
      <c r="F21" s="13" t="n">
        <f aca="false">D21+(D21*E21)</f>
        <v>93403.1</v>
      </c>
      <c r="G21" s="15"/>
      <c r="H21" s="16"/>
      <c r="I21" s="15"/>
    </row>
    <row r="22" customFormat="false" ht="14.25" hidden="false" customHeight="false" outlineLevel="0" collapsed="false">
      <c r="A22" s="12" t="s">
        <v>38</v>
      </c>
      <c r="B22" s="12" t="s">
        <v>39</v>
      </c>
      <c r="C22" s="12" t="s">
        <v>10</v>
      </c>
      <c r="D22" s="13" t="n">
        <v>129084</v>
      </c>
      <c r="E22" s="14" t="n">
        <v>0.19</v>
      </c>
      <c r="F22" s="13" t="n">
        <f aca="false">D22+(D22*E22)</f>
        <v>153609.96</v>
      </c>
      <c r="G22" s="15"/>
      <c r="H22" s="16"/>
      <c r="I22" s="15"/>
    </row>
    <row r="23" customFormat="false" ht="14.25" hidden="false" customHeight="false" outlineLevel="0" collapsed="false">
      <c r="A23" s="12" t="s">
        <v>40</v>
      </c>
      <c r="B23" s="12" t="s">
        <v>41</v>
      </c>
      <c r="C23" s="12" t="s">
        <v>10</v>
      </c>
      <c r="D23" s="13" t="n">
        <v>91451</v>
      </c>
      <c r="E23" s="14" t="n">
        <v>0.19</v>
      </c>
      <c r="F23" s="13" t="n">
        <f aca="false">D23+(D23*E23)</f>
        <v>108826.69</v>
      </c>
      <c r="G23" s="15"/>
      <c r="H23" s="16"/>
      <c r="I23" s="15"/>
    </row>
    <row r="24" customFormat="false" ht="14.25" hidden="false" customHeight="false" outlineLevel="0" collapsed="false">
      <c r="A24" s="12" t="s">
        <v>42</v>
      </c>
      <c r="B24" s="12" t="s">
        <v>43</v>
      </c>
      <c r="C24" s="12" t="s">
        <v>10</v>
      </c>
      <c r="D24" s="13" t="n">
        <v>145375</v>
      </c>
      <c r="E24" s="14" t="n">
        <v>0.19</v>
      </c>
      <c r="F24" s="13" t="n">
        <f aca="false">D24+(D24*E24)</f>
        <v>172996.25</v>
      </c>
      <c r="G24" s="15"/>
      <c r="H24" s="16"/>
      <c r="I24" s="15"/>
    </row>
    <row r="25" customFormat="false" ht="14.25" hidden="false" customHeight="false" outlineLevel="0" collapsed="false">
      <c r="A25" s="12" t="s">
        <v>44</v>
      </c>
      <c r="B25" s="12" t="s">
        <v>45</v>
      </c>
      <c r="C25" s="12" t="s">
        <v>10</v>
      </c>
      <c r="D25" s="13" t="n">
        <v>145375</v>
      </c>
      <c r="E25" s="14" t="n">
        <v>0.19</v>
      </c>
      <c r="F25" s="13" t="n">
        <f aca="false">D25+(D25*E25)</f>
        <v>172996.25</v>
      </c>
      <c r="G25" s="15"/>
      <c r="H25" s="16"/>
      <c r="I25" s="15"/>
    </row>
    <row r="26" customFormat="false" ht="14.25" hidden="false" customHeight="false" outlineLevel="0" collapsed="false">
      <c r="A26" s="12" t="s">
        <v>46</v>
      </c>
      <c r="B26" s="12" t="s">
        <v>47</v>
      </c>
      <c r="C26" s="12" t="s">
        <v>10</v>
      </c>
      <c r="D26" s="13" t="n">
        <v>151432</v>
      </c>
      <c r="E26" s="14" t="n">
        <v>0.19</v>
      </c>
      <c r="F26" s="13" t="n">
        <f aca="false">D26+(D26*E26)</f>
        <v>180204.08</v>
      </c>
      <c r="G26" s="15"/>
      <c r="H26" s="16"/>
      <c r="I26" s="15"/>
    </row>
    <row r="27" customFormat="false" ht="14.25" hidden="false" customHeight="false" outlineLevel="0" collapsed="false">
      <c r="A27" s="12" t="s">
        <v>48</v>
      </c>
      <c r="B27" s="17" t="s">
        <v>49</v>
      </c>
      <c r="C27" s="17" t="s">
        <v>10</v>
      </c>
      <c r="D27" s="13" t="n">
        <v>143508</v>
      </c>
      <c r="E27" s="14" t="n">
        <v>0.19</v>
      </c>
      <c r="F27" s="13" t="n">
        <f aca="false">D27+(D27*E27)</f>
        <v>170774.52</v>
      </c>
      <c r="G27" s="15"/>
      <c r="H27" s="16"/>
      <c r="I27" s="15"/>
      <c r="J27" s="18"/>
    </row>
    <row r="28" customFormat="false" ht="14.25" hidden="false" customHeight="false" outlineLevel="0" collapsed="false">
      <c r="A28" s="12" t="s">
        <v>50</v>
      </c>
      <c r="B28" s="12" t="s">
        <v>51</v>
      </c>
      <c r="C28" s="12" t="s">
        <v>10</v>
      </c>
      <c r="D28" s="13" t="n">
        <v>164579</v>
      </c>
      <c r="E28" s="14" t="n">
        <v>0.19</v>
      </c>
      <c r="F28" s="13" t="n">
        <f aca="false">D28+(D28*E28)</f>
        <v>195849.01</v>
      </c>
      <c r="G28" s="15"/>
      <c r="H28" s="16"/>
      <c r="I28" s="15"/>
    </row>
    <row r="29" customFormat="false" ht="14.25" hidden="false" customHeight="false" outlineLevel="0" collapsed="false">
      <c r="A29" s="11" t="s">
        <v>52</v>
      </c>
      <c r="B29" s="12" t="s">
        <v>53</v>
      </c>
      <c r="C29" s="12" t="s">
        <v>10</v>
      </c>
      <c r="D29" s="13" t="n">
        <v>153359</v>
      </c>
      <c r="E29" s="14" t="n">
        <v>0.19</v>
      </c>
      <c r="F29" s="13" t="n">
        <f aca="false">D29+(D29*E29)</f>
        <v>182497.21</v>
      </c>
      <c r="G29" s="15"/>
      <c r="H29" s="16"/>
      <c r="I29" s="15"/>
    </row>
    <row r="30" customFormat="false" ht="14.25" hidden="false" customHeight="false" outlineLevel="0" collapsed="false">
      <c r="A30" s="12" t="s">
        <v>54</v>
      </c>
      <c r="B30" s="12" t="s">
        <v>55</v>
      </c>
      <c r="C30" s="12" t="s">
        <v>10</v>
      </c>
      <c r="D30" s="13" t="n">
        <v>168979</v>
      </c>
      <c r="E30" s="14" t="n">
        <v>0.19</v>
      </c>
      <c r="F30" s="13" t="n">
        <f aca="false">D30+(D30*E30)</f>
        <v>201085.01</v>
      </c>
      <c r="G30" s="15"/>
      <c r="H30" s="16"/>
      <c r="I30" s="15"/>
    </row>
    <row r="31" customFormat="false" ht="14.25" hidden="false" customHeight="false" outlineLevel="0" collapsed="false">
      <c r="A31" s="12" t="s">
        <v>56</v>
      </c>
      <c r="B31" s="12" t="s">
        <v>57</v>
      </c>
      <c r="C31" s="12" t="s">
        <v>10</v>
      </c>
      <c r="D31" s="13" t="n">
        <v>538934</v>
      </c>
      <c r="E31" s="14" t="n">
        <v>0.19</v>
      </c>
      <c r="F31" s="13" t="n">
        <f aca="false">D31+(D31*E31)</f>
        <v>641331.46</v>
      </c>
      <c r="G31" s="15"/>
      <c r="H31" s="16"/>
      <c r="I31" s="15"/>
    </row>
    <row r="32" customFormat="false" ht="14.25" hidden="false" customHeight="false" outlineLevel="0" collapsed="false">
      <c r="A32" s="12" t="s">
        <v>58</v>
      </c>
      <c r="B32" s="12" t="s">
        <v>59</v>
      </c>
      <c r="C32" s="12" t="s">
        <v>10</v>
      </c>
      <c r="D32" s="13" t="n">
        <v>590704</v>
      </c>
      <c r="E32" s="14" t="n">
        <v>0.19</v>
      </c>
      <c r="F32" s="13" t="n">
        <f aca="false">D32+(D32*E32)</f>
        <v>702937.76</v>
      </c>
      <c r="G32" s="15"/>
      <c r="H32" s="16"/>
      <c r="I32" s="15"/>
      <c r="J32" s="18"/>
    </row>
    <row r="33" customFormat="false" ht="14.25" hidden="false" customHeight="false" outlineLevel="0" collapsed="false">
      <c r="A33" s="12" t="s">
        <v>60</v>
      </c>
      <c r="B33" s="12" t="s">
        <v>61</v>
      </c>
      <c r="C33" s="12" t="s">
        <v>10</v>
      </c>
      <c r="D33" s="13" t="n">
        <v>1018090</v>
      </c>
      <c r="E33" s="14" t="n">
        <v>0.19</v>
      </c>
      <c r="F33" s="13" t="n">
        <f aca="false">D33+(D33*E33)</f>
        <v>1211527.1</v>
      </c>
      <c r="G33" s="15"/>
      <c r="H33" s="16"/>
      <c r="I33" s="15"/>
    </row>
    <row r="34" customFormat="false" ht="14.25" hidden="false" customHeight="false" outlineLevel="0" collapsed="false">
      <c r="A34" s="12" t="s">
        <v>62</v>
      </c>
      <c r="B34" s="12" t="s">
        <v>63</v>
      </c>
      <c r="C34" s="12" t="s">
        <v>10</v>
      </c>
      <c r="D34" s="13" t="n">
        <v>638441</v>
      </c>
      <c r="E34" s="14" t="n">
        <v>0.19</v>
      </c>
      <c r="F34" s="13" t="n">
        <f aca="false">D34+(D34*E34)</f>
        <v>759744.79</v>
      </c>
      <c r="G34" s="15"/>
      <c r="H34" s="16"/>
      <c r="I34" s="15"/>
      <c r="J34" s="18"/>
    </row>
    <row r="35" customFormat="false" ht="14.25" hidden="false" customHeight="false" outlineLevel="0" collapsed="false">
      <c r="A35" s="12" t="s">
        <v>64</v>
      </c>
      <c r="B35" s="12" t="s">
        <v>65</v>
      </c>
      <c r="C35" s="12" t="s">
        <v>10</v>
      </c>
      <c r="D35" s="13" t="n">
        <v>1031321</v>
      </c>
      <c r="E35" s="14" t="n">
        <v>0.19</v>
      </c>
      <c r="F35" s="13" t="n">
        <f aca="false">D35+(D35*E35)</f>
        <v>1227271.99</v>
      </c>
      <c r="G35" s="15"/>
      <c r="H35" s="16"/>
      <c r="I35" s="15"/>
    </row>
    <row r="36" customFormat="false" ht="14.25" hidden="false" customHeight="false" outlineLevel="0" collapsed="false">
      <c r="A36" s="11" t="s">
        <v>66</v>
      </c>
      <c r="B36" s="12" t="s">
        <v>67</v>
      </c>
      <c r="C36" s="12" t="s">
        <v>10</v>
      </c>
      <c r="D36" s="13" t="n">
        <v>679415</v>
      </c>
      <c r="E36" s="14" t="n">
        <v>0.19</v>
      </c>
      <c r="F36" s="13" t="n">
        <f aca="false">D36+(D36*E36)</f>
        <v>808503.85</v>
      </c>
      <c r="G36" s="15"/>
      <c r="H36" s="16"/>
      <c r="I36" s="15"/>
    </row>
    <row r="37" customFormat="false" ht="14.25" hidden="false" customHeight="false" outlineLevel="0" collapsed="false">
      <c r="A37" s="11" t="s">
        <v>68</v>
      </c>
      <c r="B37" s="12" t="s">
        <v>69</v>
      </c>
      <c r="C37" s="12" t="s">
        <v>10</v>
      </c>
      <c r="D37" s="13" t="n">
        <v>1387732</v>
      </c>
      <c r="E37" s="14" t="n">
        <v>0.19</v>
      </c>
      <c r="F37" s="13" t="n">
        <f aca="false">D37+(D37*E37)</f>
        <v>1651401.08</v>
      </c>
      <c r="G37" s="15"/>
      <c r="H37" s="16"/>
      <c r="I37" s="15"/>
    </row>
    <row r="38" customFormat="false" ht="14.25" hidden="false" customHeight="false" outlineLevel="0" collapsed="false">
      <c r="A38" s="12" t="s">
        <v>70</v>
      </c>
      <c r="B38" s="12" t="s">
        <v>71</v>
      </c>
      <c r="C38" s="12" t="s">
        <v>10</v>
      </c>
      <c r="D38" s="13" t="n">
        <v>1273941</v>
      </c>
      <c r="E38" s="14" t="n">
        <v>0.19</v>
      </c>
      <c r="F38" s="13" t="n">
        <f aca="false">D38+(D38*E38)</f>
        <v>1515989.79</v>
      </c>
      <c r="G38" s="15"/>
      <c r="H38" s="16"/>
      <c r="I38" s="15"/>
    </row>
    <row r="39" customFormat="false" ht="14.25" hidden="false" customHeight="false" outlineLevel="0" collapsed="false">
      <c r="A39" s="12" t="s">
        <v>72</v>
      </c>
      <c r="B39" s="12" t="s">
        <v>73</v>
      </c>
      <c r="C39" s="12" t="s">
        <v>10</v>
      </c>
      <c r="D39" s="13" t="n">
        <v>2739090</v>
      </c>
      <c r="E39" s="14" t="n">
        <v>0.19</v>
      </c>
      <c r="F39" s="13" t="n">
        <f aca="false">D39+(D39*E39)</f>
        <v>3259517.1</v>
      </c>
      <c r="G39" s="15"/>
      <c r="H39" s="16"/>
      <c r="I39" s="15"/>
      <c r="J39" s="18"/>
    </row>
    <row r="40" customFormat="false" ht="14.25" hidden="false" customHeight="false" outlineLevel="0" collapsed="false">
      <c r="A40" s="12" t="s">
        <v>74</v>
      </c>
      <c r="B40" s="12" t="s">
        <v>75</v>
      </c>
      <c r="C40" s="12" t="s">
        <v>10</v>
      </c>
      <c r="D40" s="13" t="n">
        <v>16238</v>
      </c>
      <c r="E40" s="14" t="n">
        <v>0.19</v>
      </c>
      <c r="F40" s="13" t="n">
        <f aca="false">D40+(D40*E40)</f>
        <v>19323.22</v>
      </c>
      <c r="G40" s="15"/>
      <c r="H40" s="16"/>
      <c r="I40" s="15"/>
    </row>
    <row r="41" customFormat="false" ht="14.25" hidden="false" customHeight="false" outlineLevel="0" collapsed="false">
      <c r="A41" s="12" t="s">
        <v>76</v>
      </c>
      <c r="B41" s="12" t="s">
        <v>77</v>
      </c>
      <c r="C41" s="12" t="s">
        <v>10</v>
      </c>
      <c r="D41" s="13" t="n">
        <v>110762</v>
      </c>
      <c r="E41" s="14" t="n">
        <v>0.19</v>
      </c>
      <c r="F41" s="13" t="n">
        <f aca="false">D41+(D41*E41)</f>
        <v>131806.78</v>
      </c>
      <c r="G41" s="15"/>
      <c r="H41" s="16"/>
      <c r="I41" s="15"/>
    </row>
    <row r="42" customFormat="false" ht="14.25" hidden="false" customHeight="false" outlineLevel="0" collapsed="false">
      <c r="A42" s="12" t="s">
        <v>78</v>
      </c>
      <c r="B42" s="12" t="s">
        <v>79</v>
      </c>
      <c r="C42" s="12" t="s">
        <v>10</v>
      </c>
      <c r="D42" s="13" t="n">
        <v>16238</v>
      </c>
      <c r="E42" s="14" t="n">
        <v>0.19</v>
      </c>
      <c r="F42" s="13" t="n">
        <f aca="false">D42+(D42*E42)</f>
        <v>19323.22</v>
      </c>
      <c r="G42" s="15"/>
      <c r="H42" s="16"/>
      <c r="I42" s="15"/>
    </row>
    <row r="43" customFormat="false" ht="14.25" hidden="false" customHeight="false" outlineLevel="0" collapsed="false">
      <c r="A43" s="12" t="s">
        <v>80</v>
      </c>
      <c r="B43" s="12" t="s">
        <v>81</v>
      </c>
      <c r="C43" s="12" t="s">
        <v>10</v>
      </c>
      <c r="D43" s="13" t="n">
        <v>16238</v>
      </c>
      <c r="E43" s="14" t="n">
        <v>0.19</v>
      </c>
      <c r="F43" s="13" t="n">
        <f aca="false">D43+(D43*E43)</f>
        <v>19323.22</v>
      </c>
      <c r="G43" s="15"/>
      <c r="H43" s="16"/>
      <c r="I43" s="15"/>
    </row>
    <row r="44" customFormat="false" ht="14.25" hidden="false" customHeight="false" outlineLevel="0" collapsed="false">
      <c r="A44" s="12" t="s">
        <v>82</v>
      </c>
      <c r="B44" s="12" t="s">
        <v>83</v>
      </c>
      <c r="C44" s="12" t="s">
        <v>10</v>
      </c>
      <c r="D44" s="13" t="n">
        <v>92243</v>
      </c>
      <c r="E44" s="14" t="n">
        <v>0.19</v>
      </c>
      <c r="F44" s="13" t="n">
        <f aca="false">D44+(D44*E44)</f>
        <v>109769.17</v>
      </c>
      <c r="G44" s="15"/>
      <c r="H44" s="16"/>
      <c r="I44" s="15"/>
    </row>
    <row r="45" customFormat="false" ht="14.25" hidden="false" customHeight="false" outlineLevel="0" collapsed="false">
      <c r="A45" s="12" t="s">
        <v>84</v>
      </c>
      <c r="B45" s="12" t="s">
        <v>85</v>
      </c>
      <c r="C45" s="12" t="s">
        <v>10</v>
      </c>
      <c r="D45" s="13" t="n">
        <v>109480</v>
      </c>
      <c r="E45" s="14" t="n">
        <v>0.19</v>
      </c>
      <c r="F45" s="13" t="n">
        <f aca="false">D45+(D45*E45)</f>
        <v>130281.2</v>
      </c>
    </row>
    <row r="46" s="19" customFormat="true" ht="14.25" hidden="false" customHeight="false" outlineLevel="0" collapsed="false">
      <c r="A46" s="12" t="s">
        <v>86</v>
      </c>
      <c r="B46" s="12" t="s">
        <v>87</v>
      </c>
      <c r="C46" s="12" t="s">
        <v>88</v>
      </c>
      <c r="D46" s="13" t="n">
        <v>92717</v>
      </c>
      <c r="E46" s="14" t="n">
        <v>0.19</v>
      </c>
      <c r="F46" s="13" t="n">
        <f aca="false">D46+(D46*E46)</f>
        <v>110333.23</v>
      </c>
    </row>
    <row r="47" customFormat="false" ht="14.25" hidden="false" customHeight="false" outlineLevel="0" collapsed="false">
      <c r="A47" s="12" t="s">
        <v>89</v>
      </c>
      <c r="B47" s="12" t="s">
        <v>90</v>
      </c>
      <c r="C47" s="12" t="s">
        <v>88</v>
      </c>
      <c r="D47" s="13" t="n">
        <v>66622</v>
      </c>
      <c r="E47" s="14" t="n">
        <v>0.19</v>
      </c>
      <c r="F47" s="13" t="n">
        <f aca="false">D47+(D47*E47)</f>
        <v>79280.18</v>
      </c>
    </row>
    <row r="48" customFormat="false" ht="14.25" hidden="false" customHeight="false" outlineLevel="0" collapsed="false">
      <c r="A48" s="12" t="s">
        <v>91</v>
      </c>
      <c r="B48" s="12" t="s">
        <v>92</v>
      </c>
      <c r="C48" s="12" t="s">
        <v>88</v>
      </c>
      <c r="D48" s="13" t="n">
        <v>59970</v>
      </c>
      <c r="E48" s="14" t="n">
        <v>0.19</v>
      </c>
      <c r="F48" s="13" t="n">
        <f aca="false">D48+(D48*E48)</f>
        <v>71364.3</v>
      </c>
    </row>
    <row r="49" customFormat="false" ht="14.25" hidden="false" customHeight="false" outlineLevel="0" collapsed="false">
      <c r="A49" s="12" t="s">
        <v>93</v>
      </c>
      <c r="B49" s="12" t="s">
        <v>94</v>
      </c>
      <c r="C49" s="12" t="s">
        <v>88</v>
      </c>
      <c r="D49" s="13" t="n">
        <v>39278</v>
      </c>
      <c r="E49" s="14" t="n">
        <v>0.19</v>
      </c>
      <c r="F49" s="13" t="n">
        <f aca="false">D49+(D49*E49)</f>
        <v>46740.82</v>
      </c>
    </row>
    <row r="50" customFormat="false" ht="14.25" hidden="false" customHeight="false" outlineLevel="0" collapsed="false">
      <c r="A50" s="12" t="s">
        <v>95</v>
      </c>
      <c r="B50" s="20" t="s">
        <v>96</v>
      </c>
      <c r="C50" s="12" t="s">
        <v>10</v>
      </c>
      <c r="D50" s="13" t="n">
        <v>34647</v>
      </c>
      <c r="E50" s="14" t="n">
        <v>0.19</v>
      </c>
      <c r="F50" s="13" t="n">
        <f aca="false">D50+(D50*E50)</f>
        <v>41229.93</v>
      </c>
    </row>
    <row r="51" customFormat="false" ht="14.25" hidden="false" customHeight="false" outlineLevel="0" collapsed="false">
      <c r="A51" s="12" t="s">
        <v>97</v>
      </c>
      <c r="B51" s="12" t="s">
        <v>98</v>
      </c>
      <c r="C51" s="12" t="s">
        <v>10</v>
      </c>
      <c r="D51" s="13" t="n">
        <v>29284</v>
      </c>
      <c r="E51" s="14" t="n">
        <v>0.19</v>
      </c>
      <c r="F51" s="13" t="n">
        <f aca="false">D51+(D51*E51)</f>
        <v>34847.96</v>
      </c>
      <c r="G51" s="21"/>
    </row>
    <row r="52" customFormat="false" ht="14.25" hidden="false" customHeight="false" outlineLevel="0" collapsed="false">
      <c r="A52" s="12" t="s">
        <v>99</v>
      </c>
      <c r="B52" s="12" t="s">
        <v>100</v>
      </c>
      <c r="C52" s="12" t="s">
        <v>10</v>
      </c>
      <c r="D52" s="13" t="n">
        <v>65222</v>
      </c>
      <c r="E52" s="14" t="n">
        <v>0.19</v>
      </c>
      <c r="F52" s="13" t="n">
        <f aca="false">D52+(D52*E52)</f>
        <v>77614.18</v>
      </c>
    </row>
    <row r="53" customFormat="false" ht="14.25" hidden="false" customHeight="false" outlineLevel="0" collapsed="false">
      <c r="A53" s="12" t="s">
        <v>101</v>
      </c>
      <c r="B53" s="12" t="s">
        <v>102</v>
      </c>
      <c r="C53" s="12" t="s">
        <v>10</v>
      </c>
      <c r="D53" s="13" t="n">
        <v>83137</v>
      </c>
      <c r="E53" s="14" t="n">
        <v>0.19</v>
      </c>
      <c r="F53" s="13" t="n">
        <f aca="false">D53+(D53*E53)</f>
        <v>98933.03</v>
      </c>
      <c r="G53" s="1"/>
    </row>
  </sheetData>
  <mergeCells count="6">
    <mergeCell ref="A1:F1"/>
    <mergeCell ref="A2:F2"/>
    <mergeCell ref="E3:F3"/>
    <mergeCell ref="A4:F4"/>
    <mergeCell ref="E5:F5"/>
    <mergeCell ref="E6:F6"/>
  </mergeCells>
  <printOptions headings="false" gridLines="false" gridLinesSet="true" horizontalCentered="false" verticalCentered="false"/>
  <pageMargins left="0.196527777777778" right="0.196527777777778" top="0.39375" bottom="0.393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383</TotalTime>
  <Application>LibreOffice/7.5.1.2$Windows_X86_64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2014-09-08T13:56:19Z</dcterms:created>
  <dc:creator>LacteosBuenos</dc:creator>
  <dc:description/>
  <dc:language>es-CO</dc:language>
  <cp:lastModifiedBy/>
  <cp:lastPrinted>2025-07-15T18:26:34Z</cp:lastPrinted>
  <dcterms:modified xsi:type="dcterms:W3CDTF">2026-01-10T10:25:54Z</dcterms:modified>
  <cp:revision>84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